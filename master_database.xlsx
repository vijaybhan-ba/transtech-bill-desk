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E00080DE-3F4E-4DA0-9EFB-C821BF7ABD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IKE M2 KM TRIP MATRIX" sheetId="5" r:id="rId1"/>
  </sheets>
  <externalReferences>
    <externalReference r:id="rId2"/>
  </externalReferences>
  <definedNames>
    <definedName name="_xlnm._FilterDatabase" localSheetId="0" hidden="1">'HIKE M2 KM TRIP MATRIX'!$A$2:$BB$390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3" i="5" l="1"/>
  <c r="Y83" i="5"/>
  <c r="M358" i="5"/>
  <c r="N358" i="5" s="1"/>
  <c r="P358" i="5"/>
  <c r="Q358" i="5"/>
  <c r="Y358" i="5"/>
  <c r="Z358" i="5" s="1"/>
  <c r="V358" i="5"/>
  <c r="W358" i="5" s="1"/>
  <c r="S358" i="5"/>
  <c r="T358" i="5" s="1"/>
  <c r="P19" i="5" l="1"/>
  <c r="M357" i="5"/>
  <c r="N357" i="5" s="1"/>
  <c r="P357" i="5"/>
  <c r="Q357" i="5"/>
  <c r="S357" i="5"/>
  <c r="T357" i="5" s="1"/>
  <c r="V357" i="5"/>
  <c r="W357" i="5" s="1"/>
  <c r="Y357" i="5"/>
  <c r="Z357" i="5" s="1"/>
  <c r="Y283" i="5"/>
  <c r="Z283" i="5" s="1"/>
  <c r="Y356" i="5"/>
  <c r="Z356" i="5" s="1"/>
  <c r="V356" i="5"/>
  <c r="W356" i="5" s="1"/>
  <c r="S356" i="5"/>
  <c r="T356" i="5" s="1"/>
  <c r="P356" i="5"/>
  <c r="Q356" i="5" s="1"/>
  <c r="M356" i="5"/>
  <c r="N356" i="5" s="1"/>
  <c r="M355" i="5" l="1"/>
  <c r="N355" i="5" s="1"/>
  <c r="P355" i="5"/>
  <c r="Q355" i="5" s="1"/>
  <c r="Y355" i="5"/>
  <c r="Z355" i="5" s="1"/>
  <c r="V355" i="5"/>
  <c r="W355" i="5" s="1"/>
  <c r="S355" i="5"/>
  <c r="T355" i="5" s="1"/>
  <c r="Y386" i="5" l="1"/>
  <c r="Z386" i="5" s="1"/>
  <c r="V386" i="5"/>
  <c r="W386" i="5" s="1"/>
  <c r="P386" i="5"/>
  <c r="Q386" i="5" s="1"/>
  <c r="M386" i="5"/>
  <c r="N386" i="5" s="1"/>
  <c r="M354" i="5" l="1"/>
  <c r="N354" i="5" s="1"/>
  <c r="P354" i="5"/>
  <c r="Q354" i="5" s="1"/>
  <c r="V354" i="5"/>
  <c r="W354" i="5" s="1"/>
  <c r="Y354" i="5"/>
  <c r="Z354" i="5" s="1"/>
  <c r="S354" i="5"/>
  <c r="T354" i="5" s="1"/>
  <c r="V194" i="5" l="1"/>
  <c r="W194" i="5" s="1"/>
  <c r="V195" i="5"/>
  <c r="W195" i="5" s="1"/>
  <c r="Y353" i="5"/>
  <c r="Z353" i="5" s="1"/>
  <c r="M353" i="5"/>
  <c r="N353" i="5" s="1"/>
  <c r="P353" i="5"/>
  <c r="Q353" i="5" s="1"/>
  <c r="V353" i="5"/>
  <c r="W353" i="5" s="1"/>
  <c r="S353" i="5"/>
  <c r="T353" i="5" s="1"/>
  <c r="M352" i="5" l="1"/>
  <c r="N352" i="5" s="1"/>
  <c r="P352" i="5"/>
  <c r="Q352" i="5" s="1"/>
  <c r="S352" i="5"/>
  <c r="T352" i="5" s="1"/>
  <c r="V352" i="5"/>
  <c r="W352" i="5" s="1"/>
  <c r="Y352" i="5"/>
  <c r="Z352" i="5" s="1"/>
  <c r="P156" i="5" l="1"/>
  <c r="M247" i="5" l="1"/>
  <c r="M351" i="5" l="1"/>
  <c r="N351" i="5" s="1"/>
  <c r="P351" i="5"/>
  <c r="Q351" i="5" s="1"/>
  <c r="S351" i="5"/>
  <c r="T351" i="5" s="1"/>
  <c r="V351" i="5"/>
  <c r="W351" i="5" s="1"/>
  <c r="Y351" i="5"/>
  <c r="Z351" i="5" s="1"/>
  <c r="V385" i="5"/>
  <c r="W385" i="5" s="1"/>
  <c r="S385" i="5"/>
  <c r="T385" i="5" s="1"/>
  <c r="P385" i="5"/>
  <c r="Q385" i="5" s="1"/>
  <c r="M385" i="5"/>
  <c r="N385" i="5" s="1"/>
  <c r="M384" i="5"/>
  <c r="N384" i="5" s="1"/>
  <c r="P384" i="5"/>
  <c r="Q384" i="5" s="1"/>
  <c r="S384" i="5"/>
  <c r="T384" i="5" s="1"/>
  <c r="V384" i="5"/>
  <c r="W384" i="5" s="1"/>
  <c r="Y384" i="5"/>
  <c r="Z384" i="5" s="1"/>
  <c r="Y383" i="5"/>
  <c r="Z383" i="5" s="1"/>
  <c r="M383" i="5"/>
  <c r="N383" i="5" s="1"/>
  <c r="P383" i="5"/>
  <c r="Q383" i="5" s="1"/>
  <c r="S383" i="5"/>
  <c r="T383" i="5" s="1"/>
  <c r="M350" i="5" l="1"/>
  <c r="N350" i="5" s="1"/>
  <c r="P350" i="5"/>
  <c r="Q350" i="5" s="1"/>
  <c r="S350" i="5"/>
  <c r="T350" i="5" s="1"/>
  <c r="V350" i="5"/>
  <c r="W350" i="5" s="1"/>
  <c r="Y350" i="5"/>
  <c r="Z350" i="5" s="1"/>
  <c r="Y349" i="5" l="1"/>
  <c r="Z349" i="5" s="1"/>
  <c r="V349" i="5"/>
  <c r="W349" i="5" s="1"/>
  <c r="S349" i="5"/>
  <c r="T349" i="5" s="1"/>
  <c r="P349" i="5"/>
  <c r="Q349" i="5" s="1"/>
  <c r="M349" i="5"/>
  <c r="N349" i="5" s="1"/>
  <c r="M348" i="5"/>
  <c r="N348" i="5" s="1"/>
  <c r="P348" i="5"/>
  <c r="Q348" i="5" s="1"/>
  <c r="S348" i="5"/>
  <c r="T348" i="5" s="1"/>
  <c r="V348" i="5"/>
  <c r="W348" i="5" s="1"/>
  <c r="Y348" i="5"/>
  <c r="Z348" i="5" s="1"/>
  <c r="M347" i="5" l="1"/>
  <c r="N347" i="5" s="1"/>
  <c r="P347" i="5"/>
  <c r="Q347" i="5" s="1"/>
  <c r="S347" i="5"/>
  <c r="T347" i="5" s="1"/>
  <c r="V347" i="5"/>
  <c r="W347" i="5" s="1"/>
  <c r="Y347" i="5"/>
  <c r="Z347" i="5" s="1"/>
  <c r="M328" i="5"/>
  <c r="V346" i="5"/>
  <c r="W346" i="5" s="1"/>
  <c r="S346" i="5"/>
  <c r="T346" i="5" s="1"/>
  <c r="P346" i="5"/>
  <c r="Q346" i="5" s="1"/>
  <c r="M346" i="5"/>
  <c r="N346" i="5" s="1"/>
  <c r="Y346" i="5"/>
  <c r="Z346" i="5" s="1"/>
  <c r="M345" i="5"/>
  <c r="N345" i="5" s="1"/>
  <c r="P345" i="5"/>
  <c r="Q345" i="5" s="1"/>
  <c r="S345" i="5"/>
  <c r="T345" i="5" s="1"/>
  <c r="V345" i="5"/>
  <c r="W345" i="5" s="1"/>
  <c r="Y345" i="5"/>
  <c r="Z345" i="5" s="1"/>
  <c r="M227" i="5"/>
  <c r="M108" i="5"/>
  <c r="V382" i="5"/>
  <c r="W382" i="5" s="1"/>
  <c r="S382" i="5"/>
  <c r="T382" i="5" s="1"/>
  <c r="M382" i="5"/>
  <c r="N382" i="5" s="1"/>
  <c r="P382" i="5"/>
  <c r="Q382" i="5" s="1"/>
  <c r="Y4" i="5" l="1"/>
  <c r="Z4" i="5" s="1"/>
  <c r="Y5" i="5"/>
  <c r="Z5" i="5" s="1"/>
  <c r="Y6" i="5"/>
  <c r="Z6" i="5" s="1"/>
  <c r="Y7" i="5"/>
  <c r="Z7" i="5" s="1"/>
  <c r="Y8" i="5"/>
  <c r="Z8" i="5" s="1"/>
  <c r="Y9" i="5"/>
  <c r="Z9" i="5" s="1"/>
  <c r="Y10" i="5"/>
  <c r="Z10" i="5" s="1"/>
  <c r="Y11" i="5"/>
  <c r="Z11" i="5" s="1"/>
  <c r="Y12" i="5"/>
  <c r="Z12" i="5" s="1"/>
  <c r="Y13" i="5"/>
  <c r="Z13" i="5" s="1"/>
  <c r="Y14" i="5"/>
  <c r="Z14" i="5" s="1"/>
  <c r="Y15" i="5"/>
  <c r="Z15" i="5" s="1"/>
  <c r="Y16" i="5"/>
  <c r="Z16" i="5" s="1"/>
  <c r="Y17" i="5"/>
  <c r="Z17" i="5" s="1"/>
  <c r="Y18" i="5"/>
  <c r="Z18" i="5" s="1"/>
  <c r="Y19" i="5"/>
  <c r="Z19" i="5" s="1"/>
  <c r="Y20" i="5"/>
  <c r="Z20" i="5" s="1"/>
  <c r="Y21" i="5"/>
  <c r="Z21" i="5" s="1"/>
  <c r="Y22" i="5"/>
  <c r="Z22" i="5" s="1"/>
  <c r="Y23" i="5"/>
  <c r="Z23" i="5" s="1"/>
  <c r="Y24" i="5"/>
  <c r="Z24" i="5" s="1"/>
  <c r="Y25" i="5"/>
  <c r="Z25" i="5" s="1"/>
  <c r="Y26" i="5"/>
  <c r="Z26" i="5" s="1"/>
  <c r="Y27" i="5"/>
  <c r="Z27" i="5" s="1"/>
  <c r="Y28" i="5"/>
  <c r="Z28" i="5" s="1"/>
  <c r="Y29" i="5"/>
  <c r="Z29" i="5" s="1"/>
  <c r="Y30" i="5"/>
  <c r="Z30" i="5" s="1"/>
  <c r="Y31" i="5"/>
  <c r="Z31" i="5" s="1"/>
  <c r="Y32" i="5"/>
  <c r="Z32" i="5" s="1"/>
  <c r="Y33" i="5"/>
  <c r="Z33" i="5" s="1"/>
  <c r="Y34" i="5"/>
  <c r="Z34" i="5" s="1"/>
  <c r="Y35" i="5"/>
  <c r="Z35" i="5" s="1"/>
  <c r="Y36" i="5"/>
  <c r="Z36" i="5" s="1"/>
  <c r="Y37" i="5"/>
  <c r="Z37" i="5" s="1"/>
  <c r="Y38" i="5"/>
  <c r="Z38" i="5" s="1"/>
  <c r="Y39" i="5"/>
  <c r="Z39" i="5" s="1"/>
  <c r="Y40" i="5"/>
  <c r="Z40" i="5" s="1"/>
  <c r="Y41" i="5"/>
  <c r="Z41" i="5" s="1"/>
  <c r="Y42" i="5"/>
  <c r="Z42" i="5" s="1"/>
  <c r="Y43" i="5"/>
  <c r="Z43" i="5" s="1"/>
  <c r="Y44" i="5"/>
  <c r="Z44" i="5" s="1"/>
  <c r="Y45" i="5"/>
  <c r="Z45" i="5" s="1"/>
  <c r="Y46" i="5"/>
  <c r="Z46" i="5" s="1"/>
  <c r="Y47" i="5"/>
  <c r="Z47" i="5" s="1"/>
  <c r="Y48" i="5"/>
  <c r="Z48" i="5" s="1"/>
  <c r="Y49" i="5"/>
  <c r="Z49" i="5" s="1"/>
  <c r="Y50" i="5"/>
  <c r="Z50" i="5" s="1"/>
  <c r="Y51" i="5"/>
  <c r="Z51" i="5" s="1"/>
  <c r="Y52" i="5"/>
  <c r="Z52" i="5" s="1"/>
  <c r="Y53" i="5"/>
  <c r="Z53" i="5" s="1"/>
  <c r="Y54" i="5"/>
  <c r="Z54" i="5" s="1"/>
  <c r="Y55" i="5"/>
  <c r="Z55" i="5" s="1"/>
  <c r="Y56" i="5"/>
  <c r="Z56" i="5" s="1"/>
  <c r="Y57" i="5"/>
  <c r="Z57" i="5" s="1"/>
  <c r="Y58" i="5"/>
  <c r="Z58" i="5" s="1"/>
  <c r="Y59" i="5"/>
  <c r="Z59" i="5" s="1"/>
  <c r="Y60" i="5"/>
  <c r="Z60" i="5" s="1"/>
  <c r="Y61" i="5"/>
  <c r="Z61" i="5" s="1"/>
  <c r="Y62" i="5"/>
  <c r="Z62" i="5" s="1"/>
  <c r="Y63" i="5"/>
  <c r="Z63" i="5" s="1"/>
  <c r="Y64" i="5"/>
  <c r="Z64" i="5" s="1"/>
  <c r="Y65" i="5"/>
  <c r="Z65" i="5" s="1"/>
  <c r="Y66" i="5"/>
  <c r="Z66" i="5" s="1"/>
  <c r="Y67" i="5"/>
  <c r="Z67" i="5" s="1"/>
  <c r="Y68" i="5"/>
  <c r="Z68" i="5" s="1"/>
  <c r="Y69" i="5"/>
  <c r="Z69" i="5" s="1"/>
  <c r="Y70" i="5"/>
  <c r="Z70" i="5" s="1"/>
  <c r="Y71" i="5"/>
  <c r="Z71" i="5" s="1"/>
  <c r="Y72" i="5"/>
  <c r="Z72" i="5" s="1"/>
  <c r="Y73" i="5"/>
  <c r="Z73" i="5" s="1"/>
  <c r="Y74" i="5"/>
  <c r="Z74" i="5" s="1"/>
  <c r="Y75" i="5"/>
  <c r="Z75" i="5" s="1"/>
  <c r="Y76" i="5"/>
  <c r="Z76" i="5" s="1"/>
  <c r="Y77" i="5"/>
  <c r="Z77" i="5" s="1"/>
  <c r="Y78" i="5"/>
  <c r="Z78" i="5" s="1"/>
  <c r="Y79" i="5"/>
  <c r="Z79" i="5" s="1"/>
  <c r="Y80" i="5"/>
  <c r="Z80" i="5" s="1"/>
  <c r="Y81" i="5"/>
  <c r="Z81" i="5" s="1"/>
  <c r="Y82" i="5"/>
  <c r="Z82" i="5" s="1"/>
  <c r="Y84" i="5"/>
  <c r="Z84" i="5" s="1"/>
  <c r="Y85" i="5"/>
  <c r="Z85" i="5" s="1"/>
  <c r="Y86" i="5"/>
  <c r="Z86" i="5" s="1"/>
  <c r="Y87" i="5"/>
  <c r="Z87" i="5" s="1"/>
  <c r="Y88" i="5"/>
  <c r="Z88" i="5" s="1"/>
  <c r="Y89" i="5"/>
  <c r="Z89" i="5" s="1"/>
  <c r="Y90" i="5"/>
  <c r="Z90" i="5" s="1"/>
  <c r="Y91" i="5"/>
  <c r="Z91" i="5" s="1"/>
  <c r="Y92" i="5"/>
  <c r="Z92" i="5" s="1"/>
  <c r="Y93" i="5"/>
  <c r="Z93" i="5" s="1"/>
  <c r="Y94" i="5"/>
  <c r="Z94" i="5" s="1"/>
  <c r="Y95" i="5"/>
  <c r="Z95" i="5" s="1"/>
  <c r="Y96" i="5"/>
  <c r="Z96" i="5" s="1"/>
  <c r="Y97" i="5"/>
  <c r="Z97" i="5" s="1"/>
  <c r="Y98" i="5"/>
  <c r="Z98" i="5" s="1"/>
  <c r="Y99" i="5"/>
  <c r="Z99" i="5" s="1"/>
  <c r="Y100" i="5"/>
  <c r="Z100" i="5" s="1"/>
  <c r="Y101" i="5"/>
  <c r="Z101" i="5" s="1"/>
  <c r="Y102" i="5"/>
  <c r="Z102" i="5" s="1"/>
  <c r="Y103" i="5"/>
  <c r="Z103" i="5" s="1"/>
  <c r="Y104" i="5"/>
  <c r="Z104" i="5" s="1"/>
  <c r="Y105" i="5"/>
  <c r="Z105" i="5" s="1"/>
  <c r="Y106" i="5"/>
  <c r="Z106" i="5" s="1"/>
  <c r="Y107" i="5"/>
  <c r="Z107" i="5" s="1"/>
  <c r="Y108" i="5"/>
  <c r="Z108" i="5" s="1"/>
  <c r="Y109" i="5"/>
  <c r="Z109" i="5" s="1"/>
  <c r="Y110" i="5"/>
  <c r="Z110" i="5" s="1"/>
  <c r="Y111" i="5"/>
  <c r="Z111" i="5" s="1"/>
  <c r="Y112" i="5"/>
  <c r="Z112" i="5" s="1"/>
  <c r="Y113" i="5"/>
  <c r="Z113" i="5" s="1"/>
  <c r="Y114" i="5"/>
  <c r="Z114" i="5" s="1"/>
  <c r="Y115" i="5"/>
  <c r="Z115" i="5" s="1"/>
  <c r="Y116" i="5"/>
  <c r="Z116" i="5" s="1"/>
  <c r="Y117" i="5"/>
  <c r="Z117" i="5" s="1"/>
  <c r="Y118" i="5"/>
  <c r="Z118" i="5" s="1"/>
  <c r="Y119" i="5"/>
  <c r="Z119" i="5" s="1"/>
  <c r="Y120" i="5"/>
  <c r="Z120" i="5" s="1"/>
  <c r="Y121" i="5"/>
  <c r="Z121" i="5" s="1"/>
  <c r="Y122" i="5"/>
  <c r="Z122" i="5" s="1"/>
  <c r="Y123" i="5"/>
  <c r="Z123" i="5" s="1"/>
  <c r="Y124" i="5"/>
  <c r="Z124" i="5" s="1"/>
  <c r="Y125" i="5"/>
  <c r="Z125" i="5" s="1"/>
  <c r="Y126" i="5"/>
  <c r="Z126" i="5" s="1"/>
  <c r="Y127" i="5"/>
  <c r="Z127" i="5" s="1"/>
  <c r="Y128" i="5"/>
  <c r="Z128" i="5" s="1"/>
  <c r="Y129" i="5"/>
  <c r="Z129" i="5" s="1"/>
  <c r="Y130" i="5"/>
  <c r="Z130" i="5" s="1"/>
  <c r="Y131" i="5"/>
  <c r="Z131" i="5" s="1"/>
  <c r="Y132" i="5"/>
  <c r="Z132" i="5" s="1"/>
  <c r="Y133" i="5"/>
  <c r="Z133" i="5" s="1"/>
  <c r="Y134" i="5"/>
  <c r="Z134" i="5" s="1"/>
  <c r="Y135" i="5"/>
  <c r="Z135" i="5" s="1"/>
  <c r="Y136" i="5"/>
  <c r="Z136" i="5" s="1"/>
  <c r="Y137" i="5"/>
  <c r="Z137" i="5" s="1"/>
  <c r="Y138" i="5"/>
  <c r="Z138" i="5" s="1"/>
  <c r="Y139" i="5"/>
  <c r="Z139" i="5" s="1"/>
  <c r="Y140" i="5"/>
  <c r="Z140" i="5" s="1"/>
  <c r="Y141" i="5"/>
  <c r="Z141" i="5" s="1"/>
  <c r="Y142" i="5"/>
  <c r="Z142" i="5" s="1"/>
  <c r="Y143" i="5"/>
  <c r="Z143" i="5" s="1"/>
  <c r="Y144" i="5"/>
  <c r="Z144" i="5" s="1"/>
  <c r="Y145" i="5"/>
  <c r="Z145" i="5" s="1"/>
  <c r="Y146" i="5"/>
  <c r="Z146" i="5" s="1"/>
  <c r="Y147" i="5"/>
  <c r="Z147" i="5" s="1"/>
  <c r="Y148" i="5"/>
  <c r="Z148" i="5" s="1"/>
  <c r="Y149" i="5"/>
  <c r="Z149" i="5" s="1"/>
  <c r="Y150" i="5"/>
  <c r="Z150" i="5" s="1"/>
  <c r="Y151" i="5"/>
  <c r="Z151" i="5" s="1"/>
  <c r="Y152" i="5"/>
  <c r="Z152" i="5" s="1"/>
  <c r="Y153" i="5"/>
  <c r="Z153" i="5" s="1"/>
  <c r="Y154" i="5"/>
  <c r="Z154" i="5" s="1"/>
  <c r="Y155" i="5"/>
  <c r="Z155" i="5" s="1"/>
  <c r="Y156" i="5"/>
  <c r="Z156" i="5" s="1"/>
  <c r="Y157" i="5"/>
  <c r="Z157" i="5" s="1"/>
  <c r="Y158" i="5"/>
  <c r="Z158" i="5" s="1"/>
  <c r="Y159" i="5"/>
  <c r="Z159" i="5" s="1"/>
  <c r="Y160" i="5"/>
  <c r="Z160" i="5" s="1"/>
  <c r="Y161" i="5"/>
  <c r="Z161" i="5" s="1"/>
  <c r="Y162" i="5"/>
  <c r="Z162" i="5" s="1"/>
  <c r="Y163" i="5"/>
  <c r="Z163" i="5" s="1"/>
  <c r="Y164" i="5"/>
  <c r="Z164" i="5" s="1"/>
  <c r="Y165" i="5"/>
  <c r="Z165" i="5" s="1"/>
  <c r="Y166" i="5"/>
  <c r="Z166" i="5" s="1"/>
  <c r="Y167" i="5"/>
  <c r="Z167" i="5" s="1"/>
  <c r="Y168" i="5"/>
  <c r="Z168" i="5" s="1"/>
  <c r="Y169" i="5"/>
  <c r="Z169" i="5" s="1"/>
  <c r="Y170" i="5"/>
  <c r="Z170" i="5" s="1"/>
  <c r="Y171" i="5"/>
  <c r="Z171" i="5" s="1"/>
  <c r="Y172" i="5"/>
  <c r="Z172" i="5" s="1"/>
  <c r="Y173" i="5"/>
  <c r="Z173" i="5" s="1"/>
  <c r="Y174" i="5"/>
  <c r="Z174" i="5" s="1"/>
  <c r="Y175" i="5"/>
  <c r="Z175" i="5" s="1"/>
  <c r="Y176" i="5"/>
  <c r="Z176" i="5" s="1"/>
  <c r="Y177" i="5"/>
  <c r="Z177" i="5" s="1"/>
  <c r="Y178" i="5"/>
  <c r="Z178" i="5" s="1"/>
  <c r="Y179" i="5"/>
  <c r="Z179" i="5" s="1"/>
  <c r="Y180" i="5"/>
  <c r="Z180" i="5" s="1"/>
  <c r="Y181" i="5"/>
  <c r="Z181" i="5" s="1"/>
  <c r="Y182" i="5"/>
  <c r="Z182" i="5" s="1"/>
  <c r="Y183" i="5"/>
  <c r="Z183" i="5" s="1"/>
  <c r="Y184" i="5"/>
  <c r="Z184" i="5" s="1"/>
  <c r="Y185" i="5"/>
  <c r="Z185" i="5" s="1"/>
  <c r="Y186" i="5"/>
  <c r="Z186" i="5" s="1"/>
  <c r="Y187" i="5"/>
  <c r="Z187" i="5" s="1"/>
  <c r="Y188" i="5"/>
  <c r="Z188" i="5" s="1"/>
  <c r="Y189" i="5"/>
  <c r="Z189" i="5" s="1"/>
  <c r="Y190" i="5"/>
  <c r="Z190" i="5" s="1"/>
  <c r="Y191" i="5"/>
  <c r="Z191" i="5" s="1"/>
  <c r="Y192" i="5"/>
  <c r="Z192" i="5" s="1"/>
  <c r="Y193" i="5"/>
  <c r="Z193" i="5" s="1"/>
  <c r="Y194" i="5"/>
  <c r="Z194" i="5" s="1"/>
  <c r="Y195" i="5"/>
  <c r="Z195" i="5" s="1"/>
  <c r="Y196" i="5"/>
  <c r="Z196" i="5" s="1"/>
  <c r="Y197" i="5"/>
  <c r="Z197" i="5" s="1"/>
  <c r="Y198" i="5"/>
  <c r="Z198" i="5" s="1"/>
  <c r="Y199" i="5"/>
  <c r="Z199" i="5" s="1"/>
  <c r="Y200" i="5"/>
  <c r="Z200" i="5" s="1"/>
  <c r="Y201" i="5"/>
  <c r="Z201" i="5" s="1"/>
  <c r="Y202" i="5"/>
  <c r="Z202" i="5" s="1"/>
  <c r="Y203" i="5"/>
  <c r="Z203" i="5" s="1"/>
  <c r="Y204" i="5"/>
  <c r="Z204" i="5" s="1"/>
  <c r="Y205" i="5"/>
  <c r="Z205" i="5" s="1"/>
  <c r="Y206" i="5"/>
  <c r="Z206" i="5" s="1"/>
  <c r="Y207" i="5"/>
  <c r="Z207" i="5" s="1"/>
  <c r="Y208" i="5"/>
  <c r="Z208" i="5" s="1"/>
  <c r="Y209" i="5"/>
  <c r="Z209" i="5" s="1"/>
  <c r="Y210" i="5"/>
  <c r="Z210" i="5" s="1"/>
  <c r="Y211" i="5"/>
  <c r="Z211" i="5" s="1"/>
  <c r="Y212" i="5"/>
  <c r="Z212" i="5" s="1"/>
  <c r="Y213" i="5"/>
  <c r="Z213" i="5" s="1"/>
  <c r="Y214" i="5"/>
  <c r="Z214" i="5" s="1"/>
  <c r="Y215" i="5"/>
  <c r="Z215" i="5" s="1"/>
  <c r="Y216" i="5"/>
  <c r="Z216" i="5" s="1"/>
  <c r="Y217" i="5"/>
  <c r="Z217" i="5" s="1"/>
  <c r="Y218" i="5"/>
  <c r="Z218" i="5" s="1"/>
  <c r="Y219" i="5"/>
  <c r="Z219" i="5" s="1"/>
  <c r="Y220" i="5"/>
  <c r="Z220" i="5" s="1"/>
  <c r="Y221" i="5"/>
  <c r="Z221" i="5" s="1"/>
  <c r="Y222" i="5"/>
  <c r="Z222" i="5" s="1"/>
  <c r="Y223" i="5"/>
  <c r="Z223" i="5" s="1"/>
  <c r="Y224" i="5"/>
  <c r="Z224" i="5" s="1"/>
  <c r="Y225" i="5"/>
  <c r="Z225" i="5" s="1"/>
  <c r="Y226" i="5"/>
  <c r="Z226" i="5" s="1"/>
  <c r="Y227" i="5"/>
  <c r="Z227" i="5" s="1"/>
  <c r="Y228" i="5"/>
  <c r="Z228" i="5" s="1"/>
  <c r="Y229" i="5"/>
  <c r="Z229" i="5" s="1"/>
  <c r="Y230" i="5"/>
  <c r="Z230" i="5" s="1"/>
  <c r="Y231" i="5"/>
  <c r="Z231" i="5" s="1"/>
  <c r="Y232" i="5"/>
  <c r="Z232" i="5" s="1"/>
  <c r="Y233" i="5"/>
  <c r="Z233" i="5" s="1"/>
  <c r="Y234" i="5"/>
  <c r="Z234" i="5" s="1"/>
  <c r="Y235" i="5"/>
  <c r="Z235" i="5" s="1"/>
  <c r="Y236" i="5"/>
  <c r="Z236" i="5" s="1"/>
  <c r="Y237" i="5"/>
  <c r="Z237" i="5" s="1"/>
  <c r="Y238" i="5"/>
  <c r="Z238" i="5" s="1"/>
  <c r="Y239" i="5"/>
  <c r="Z239" i="5" s="1"/>
  <c r="Y240" i="5"/>
  <c r="Z240" i="5" s="1"/>
  <c r="Y241" i="5"/>
  <c r="Z241" i="5" s="1"/>
  <c r="Y242" i="5"/>
  <c r="Z242" i="5" s="1"/>
  <c r="Y243" i="5"/>
  <c r="Z243" i="5" s="1"/>
  <c r="Y244" i="5"/>
  <c r="Z244" i="5" s="1"/>
  <c r="Y245" i="5"/>
  <c r="Z245" i="5" s="1"/>
  <c r="Y246" i="5"/>
  <c r="Z246" i="5" s="1"/>
  <c r="Y247" i="5"/>
  <c r="Z247" i="5" s="1"/>
  <c r="Y248" i="5"/>
  <c r="Z248" i="5" s="1"/>
  <c r="Y249" i="5"/>
  <c r="Z249" i="5" s="1"/>
  <c r="Y250" i="5"/>
  <c r="Z250" i="5" s="1"/>
  <c r="Y251" i="5"/>
  <c r="Z251" i="5" s="1"/>
  <c r="Y252" i="5"/>
  <c r="Z252" i="5" s="1"/>
  <c r="Y253" i="5"/>
  <c r="Z253" i="5" s="1"/>
  <c r="Y254" i="5"/>
  <c r="Z254" i="5" s="1"/>
  <c r="Y255" i="5"/>
  <c r="Z255" i="5" s="1"/>
  <c r="Y256" i="5"/>
  <c r="Z256" i="5" s="1"/>
  <c r="Y257" i="5"/>
  <c r="Z257" i="5" s="1"/>
  <c r="Y258" i="5"/>
  <c r="Z258" i="5" s="1"/>
  <c r="Y259" i="5"/>
  <c r="Z259" i="5" s="1"/>
  <c r="Y260" i="5"/>
  <c r="Z260" i="5" s="1"/>
  <c r="Y261" i="5"/>
  <c r="Z261" i="5" s="1"/>
  <c r="Y262" i="5"/>
  <c r="Z262" i="5" s="1"/>
  <c r="Y263" i="5"/>
  <c r="Z263" i="5" s="1"/>
  <c r="Y264" i="5"/>
  <c r="Z264" i="5" s="1"/>
  <c r="Y265" i="5"/>
  <c r="Z265" i="5" s="1"/>
  <c r="Y266" i="5"/>
  <c r="Z266" i="5" s="1"/>
  <c r="Y267" i="5"/>
  <c r="Z267" i="5" s="1"/>
  <c r="Y268" i="5"/>
  <c r="Z268" i="5" s="1"/>
  <c r="Y269" i="5"/>
  <c r="Z269" i="5" s="1"/>
  <c r="Y270" i="5"/>
  <c r="Z270" i="5" s="1"/>
  <c r="Y271" i="5"/>
  <c r="Z271" i="5" s="1"/>
  <c r="Y272" i="5"/>
  <c r="Z272" i="5" s="1"/>
  <c r="Y273" i="5"/>
  <c r="Z273" i="5" s="1"/>
  <c r="Y274" i="5"/>
  <c r="Z274" i="5" s="1"/>
  <c r="Y275" i="5"/>
  <c r="Z275" i="5" s="1"/>
  <c r="Y276" i="5"/>
  <c r="Z276" i="5" s="1"/>
  <c r="Y277" i="5"/>
  <c r="Z277" i="5" s="1"/>
  <c r="Y278" i="5"/>
  <c r="Z278" i="5" s="1"/>
  <c r="Y279" i="5"/>
  <c r="Z279" i="5" s="1"/>
  <c r="Y280" i="5"/>
  <c r="Z280" i="5" s="1"/>
  <c r="Y281" i="5"/>
  <c r="Z281" i="5" s="1"/>
  <c r="Y282" i="5"/>
  <c r="Z282" i="5" s="1"/>
  <c r="Y284" i="5"/>
  <c r="Z284" i="5" s="1"/>
  <c r="Y285" i="5"/>
  <c r="Z285" i="5" s="1"/>
  <c r="Y286" i="5"/>
  <c r="Z286" i="5" s="1"/>
  <c r="Y287" i="5"/>
  <c r="Z287" i="5" s="1"/>
  <c r="Y288" i="5"/>
  <c r="Z288" i="5" s="1"/>
  <c r="Y289" i="5"/>
  <c r="Z289" i="5" s="1"/>
  <c r="Y290" i="5"/>
  <c r="Z290" i="5" s="1"/>
  <c r="Y291" i="5"/>
  <c r="Z291" i="5" s="1"/>
  <c r="Y292" i="5"/>
  <c r="Z292" i="5" s="1"/>
  <c r="Y293" i="5"/>
  <c r="Z293" i="5" s="1"/>
  <c r="Y294" i="5"/>
  <c r="Z294" i="5" s="1"/>
  <c r="Y295" i="5"/>
  <c r="Z295" i="5" s="1"/>
  <c r="Y296" i="5"/>
  <c r="Z296" i="5" s="1"/>
  <c r="Y297" i="5"/>
  <c r="Z297" i="5" s="1"/>
  <c r="Y298" i="5"/>
  <c r="Z298" i="5" s="1"/>
  <c r="Y299" i="5"/>
  <c r="Z299" i="5" s="1"/>
  <c r="Y300" i="5"/>
  <c r="Z300" i="5" s="1"/>
  <c r="Y301" i="5"/>
  <c r="Z301" i="5" s="1"/>
  <c r="Y302" i="5"/>
  <c r="Z302" i="5" s="1"/>
  <c r="Y303" i="5"/>
  <c r="Z303" i="5" s="1"/>
  <c r="Y304" i="5"/>
  <c r="Z304" i="5" s="1"/>
  <c r="Y305" i="5"/>
  <c r="Z305" i="5" s="1"/>
  <c r="Y306" i="5"/>
  <c r="Z306" i="5" s="1"/>
  <c r="Y307" i="5"/>
  <c r="Z307" i="5" s="1"/>
  <c r="Y308" i="5"/>
  <c r="Z308" i="5" s="1"/>
  <c r="Y309" i="5"/>
  <c r="Z309" i="5" s="1"/>
  <c r="Y310" i="5"/>
  <c r="Z310" i="5" s="1"/>
  <c r="Y311" i="5"/>
  <c r="Z311" i="5" s="1"/>
  <c r="Y312" i="5"/>
  <c r="Z312" i="5" s="1"/>
  <c r="Y374" i="5"/>
  <c r="Z374" i="5" s="1"/>
  <c r="Y375" i="5"/>
  <c r="Z375" i="5" s="1"/>
  <c r="Y376" i="5"/>
  <c r="Z376" i="5" s="1"/>
  <c r="Y377" i="5"/>
  <c r="Z377" i="5" s="1"/>
  <c r="Y378" i="5"/>
  <c r="Z378" i="5" s="1"/>
  <c r="Y379" i="5"/>
  <c r="Z379" i="5" s="1"/>
  <c r="Y380" i="5"/>
  <c r="Z380" i="5" s="1"/>
  <c r="Y381" i="5"/>
  <c r="Z381" i="5" s="1"/>
  <c r="Y313" i="5"/>
  <c r="Z313" i="5" s="1"/>
  <c r="Y314" i="5"/>
  <c r="Z314" i="5" s="1"/>
  <c r="Y315" i="5"/>
  <c r="Z315" i="5" s="1"/>
  <c r="Y316" i="5"/>
  <c r="Z316" i="5" s="1"/>
  <c r="Y317" i="5"/>
  <c r="Z317" i="5" s="1"/>
  <c r="Y318" i="5"/>
  <c r="Z318" i="5" s="1"/>
  <c r="Y319" i="5"/>
  <c r="Z319" i="5" s="1"/>
  <c r="Y320" i="5"/>
  <c r="Z320" i="5" s="1"/>
  <c r="Y321" i="5"/>
  <c r="Z321" i="5" s="1"/>
  <c r="Y322" i="5"/>
  <c r="Z322" i="5" s="1"/>
  <c r="Y323" i="5"/>
  <c r="Z323" i="5" s="1"/>
  <c r="Y324" i="5"/>
  <c r="Z324" i="5" s="1"/>
  <c r="Y325" i="5"/>
  <c r="Z325" i="5" s="1"/>
  <c r="Y326" i="5"/>
  <c r="Z326" i="5" s="1"/>
  <c r="Y327" i="5"/>
  <c r="Z327" i="5" s="1"/>
  <c r="Y328" i="5"/>
  <c r="Z328" i="5" s="1"/>
  <c r="Y329" i="5"/>
  <c r="Z329" i="5" s="1"/>
  <c r="Y330" i="5"/>
  <c r="Z330" i="5" s="1"/>
  <c r="Y331" i="5"/>
  <c r="Z331" i="5" s="1"/>
  <c r="Y332" i="5"/>
  <c r="Z332" i="5" s="1"/>
  <c r="Y333" i="5"/>
  <c r="Z333" i="5" s="1"/>
  <c r="Y334" i="5"/>
  <c r="Z334" i="5" s="1"/>
  <c r="Y335" i="5"/>
  <c r="Z335" i="5" s="1"/>
  <c r="Y336" i="5"/>
  <c r="Z336" i="5" s="1"/>
  <c r="Y337" i="5"/>
  <c r="Z337" i="5" s="1"/>
  <c r="Y338" i="5"/>
  <c r="Z338" i="5" s="1"/>
  <c r="Y339" i="5"/>
  <c r="Z339" i="5" s="1"/>
  <c r="Y340" i="5"/>
  <c r="Z340" i="5" s="1"/>
  <c r="Y341" i="5"/>
  <c r="Z341" i="5" s="1"/>
  <c r="Y342" i="5"/>
  <c r="Z342" i="5" s="1"/>
  <c r="Y343" i="5"/>
  <c r="Z343" i="5" s="1"/>
  <c r="Y344" i="5"/>
  <c r="Z344" i="5" s="1"/>
  <c r="Y382" i="5"/>
  <c r="Z382" i="5" s="1"/>
  <c r="Y387" i="5"/>
  <c r="Z387" i="5" s="1"/>
  <c r="Y388" i="5"/>
  <c r="Z388" i="5" s="1"/>
  <c r="Y3" i="5"/>
  <c r="Z3" i="5" s="1"/>
  <c r="AH344" i="5"/>
  <c r="AI344" i="5" s="1"/>
  <c r="AE344" i="5"/>
  <c r="AF344" i="5" s="1"/>
  <c r="AB344" i="5"/>
  <c r="AC344" i="5" s="1"/>
  <c r="V344" i="5"/>
  <c r="W344" i="5" s="1"/>
  <c r="S344" i="5"/>
  <c r="T344" i="5" s="1"/>
  <c r="P344" i="5"/>
  <c r="Q344" i="5" s="1"/>
  <c r="M344" i="5"/>
  <c r="N344" i="5" s="1"/>
  <c r="P248" i="5"/>
  <c r="V343" i="5" l="1"/>
  <c r="W343" i="5" s="1"/>
  <c r="P343" i="5"/>
  <c r="Q343" i="5" s="1"/>
  <c r="M343" i="5"/>
  <c r="N343" i="5" s="1"/>
  <c r="S343" i="5"/>
  <c r="T343" i="5" s="1"/>
  <c r="P86" i="5" l="1"/>
  <c r="N108" i="5"/>
  <c r="P108" i="5"/>
  <c r="Q108" i="5" s="1"/>
  <c r="V108" i="5"/>
  <c r="W108" i="5" s="1"/>
  <c r="S108" i="5"/>
  <c r="T108" i="5" s="1"/>
  <c r="M320" i="5" l="1"/>
  <c r="G393" i="5" l="1"/>
  <c r="G394" i="5" s="1"/>
  <c r="M342" i="5"/>
  <c r="N342" i="5" s="1"/>
  <c r="P342" i="5"/>
  <c r="Q342" i="5" s="1"/>
  <c r="V342" i="5"/>
  <c r="W342" i="5" s="1"/>
  <c r="S342" i="5"/>
  <c r="T342" i="5" s="1"/>
  <c r="M86" i="5"/>
  <c r="V341" i="5"/>
  <c r="W341" i="5" s="1"/>
  <c r="M341" i="5"/>
  <c r="N341" i="5" s="1"/>
  <c r="P341" i="5"/>
  <c r="Q341" i="5" s="1"/>
  <c r="S341" i="5"/>
  <c r="T341" i="5" s="1"/>
  <c r="AH340" i="5" l="1"/>
  <c r="AI340" i="5" s="1"/>
  <c r="AE340" i="5"/>
  <c r="AF340" i="5" s="1"/>
  <c r="AB340" i="5"/>
  <c r="AC340" i="5" s="1"/>
  <c r="V340" i="5"/>
  <c r="W340" i="5" s="1"/>
  <c r="S340" i="5"/>
  <c r="T340" i="5" s="1"/>
  <c r="P340" i="5"/>
  <c r="Q340" i="5" s="1"/>
  <c r="M340" i="5"/>
  <c r="N340" i="5" s="1"/>
  <c r="AQ339" i="5" l="1"/>
  <c r="AR339" i="5" s="1"/>
  <c r="AN339" i="5"/>
  <c r="AO339" i="5" s="1"/>
  <c r="AK339" i="5"/>
  <c r="AL339" i="5" s="1"/>
  <c r="AH339" i="5"/>
  <c r="AI339" i="5" s="1"/>
  <c r="AE339" i="5"/>
  <c r="AF339" i="5" s="1"/>
  <c r="AB339" i="5"/>
  <c r="AC339" i="5" s="1"/>
  <c r="V339" i="5"/>
  <c r="W339" i="5" s="1"/>
  <c r="S339" i="5"/>
  <c r="T339" i="5" s="1"/>
  <c r="P339" i="5"/>
  <c r="Q339" i="5" s="1"/>
  <c r="M339" i="5"/>
  <c r="N339" i="5" s="1"/>
  <c r="AH338" i="5"/>
  <c r="AI338" i="5" s="1"/>
  <c r="V338" i="5"/>
  <c r="W338" i="5" s="1"/>
  <c r="P338" i="5"/>
  <c r="Q338" i="5" s="1"/>
  <c r="S338" i="5"/>
  <c r="T338" i="5" s="1"/>
  <c r="M338" i="5"/>
  <c r="N338" i="5" s="1"/>
  <c r="M337" i="5" l="1"/>
  <c r="N337" i="5" s="1"/>
  <c r="P337" i="5"/>
  <c r="Q337" i="5" s="1"/>
  <c r="S337" i="5"/>
  <c r="T337" i="5" s="1"/>
  <c r="V337" i="5"/>
  <c r="W337" i="5" s="1"/>
  <c r="AB337" i="5"/>
  <c r="AC337" i="5" s="1"/>
  <c r="AE337" i="5"/>
  <c r="AF337" i="5" s="1"/>
  <c r="AH337" i="5"/>
  <c r="AI337" i="5" s="1"/>
  <c r="AK337" i="5"/>
  <c r="AL337" i="5" s="1"/>
  <c r="AK336" i="5"/>
  <c r="AL336" i="5" s="1"/>
  <c r="AH336" i="5"/>
  <c r="AI336" i="5" s="1"/>
  <c r="AE336" i="5"/>
  <c r="AF336" i="5" s="1"/>
  <c r="AB336" i="5"/>
  <c r="AC336" i="5" s="1"/>
  <c r="V336" i="5"/>
  <c r="W336" i="5" s="1"/>
  <c r="S336" i="5"/>
  <c r="T336" i="5" s="1"/>
  <c r="P336" i="5"/>
  <c r="Q336" i="5" s="1"/>
  <c r="M336" i="5"/>
  <c r="N336" i="5" s="1"/>
  <c r="AH335" i="5" l="1"/>
  <c r="AI335" i="5" s="1"/>
  <c r="V335" i="5"/>
  <c r="W335" i="5" s="1"/>
  <c r="S335" i="5"/>
  <c r="T335" i="5" s="1"/>
  <c r="P335" i="5"/>
  <c r="Q335" i="5" s="1"/>
  <c r="M335" i="5"/>
  <c r="N335" i="5" s="1"/>
  <c r="AH334" i="5"/>
  <c r="AI334" i="5" s="1"/>
  <c r="AE334" i="5"/>
  <c r="AF334" i="5" s="1"/>
  <c r="AB334" i="5"/>
  <c r="AC334" i="5" s="1"/>
  <c r="V334" i="5"/>
  <c r="W334" i="5" s="1"/>
  <c r="S334" i="5"/>
  <c r="T334" i="5" s="1"/>
  <c r="P334" i="5"/>
  <c r="Q334" i="5" s="1"/>
  <c r="M334" i="5"/>
  <c r="N334" i="5" s="1"/>
  <c r="AQ333" i="5"/>
  <c r="AR333" i="5" s="1"/>
  <c r="AN333" i="5"/>
  <c r="AO333" i="5" s="1"/>
  <c r="AK333" i="5"/>
  <c r="AL333" i="5" s="1"/>
  <c r="AH333" i="5"/>
  <c r="AI333" i="5" s="1"/>
  <c r="AE333" i="5"/>
  <c r="AF333" i="5" s="1"/>
  <c r="AB333" i="5"/>
  <c r="AC333" i="5" s="1"/>
  <c r="V333" i="5"/>
  <c r="W333" i="5" s="1"/>
  <c r="S333" i="5"/>
  <c r="T333" i="5" s="1"/>
  <c r="P333" i="5"/>
  <c r="Q333" i="5" s="1"/>
  <c r="M333" i="5"/>
  <c r="N333" i="5" s="1"/>
  <c r="AH332" i="5"/>
  <c r="AI332" i="5" s="1"/>
  <c r="V332" i="5"/>
  <c r="W332" i="5" s="1"/>
  <c r="M332" i="5"/>
  <c r="N332" i="5" s="1"/>
  <c r="P332" i="5"/>
  <c r="Q332" i="5" s="1"/>
  <c r="S332" i="5"/>
  <c r="T332" i="5" s="1"/>
  <c r="V331" i="5" l="1"/>
  <c r="W331" i="5" s="1"/>
  <c r="M331" i="5"/>
  <c r="N331" i="5" s="1"/>
  <c r="P331" i="5"/>
  <c r="Q331" i="5" s="1"/>
  <c r="S331" i="5"/>
  <c r="T331" i="5" s="1"/>
  <c r="AH330" i="5" l="1"/>
  <c r="AI330" i="5" s="1"/>
  <c r="V330" i="5"/>
  <c r="W330" i="5" s="1"/>
  <c r="P330" i="5"/>
  <c r="Q330" i="5" s="1"/>
  <c r="M330" i="5"/>
  <c r="N330" i="5" s="1"/>
  <c r="S330" i="5"/>
  <c r="T330" i="5" s="1"/>
  <c r="AH329" i="5"/>
  <c r="AI329" i="5" s="1"/>
  <c r="V329" i="5"/>
  <c r="W329" i="5" s="1"/>
  <c r="P329" i="5"/>
  <c r="Q329" i="5" s="1"/>
  <c r="M329" i="5"/>
  <c r="N329" i="5" s="1"/>
  <c r="S329" i="5"/>
  <c r="T329" i="5" s="1"/>
  <c r="AH328" i="5" l="1"/>
  <c r="AI328" i="5" s="1"/>
  <c r="N328" i="5"/>
  <c r="P328" i="5"/>
  <c r="Q328" i="5" s="1"/>
  <c r="V328" i="5"/>
  <c r="W328" i="5" s="1"/>
  <c r="S328" i="5"/>
  <c r="T328" i="5" s="1"/>
  <c r="AH327" i="5" l="1"/>
  <c r="AI327" i="5" s="1"/>
  <c r="J327" i="5"/>
  <c r="K327" i="5" s="1"/>
  <c r="V327" i="5"/>
  <c r="W327" i="5" s="1"/>
  <c r="S327" i="5"/>
  <c r="T327" i="5" s="1"/>
  <c r="P327" i="5"/>
  <c r="Q327" i="5" s="1"/>
  <c r="M327" i="5"/>
  <c r="N327" i="5" s="1"/>
  <c r="AH326" i="5"/>
  <c r="AI326" i="5" s="1"/>
  <c r="V326" i="5"/>
  <c r="W326" i="5" s="1"/>
  <c r="S326" i="5"/>
  <c r="T326" i="5" s="1"/>
  <c r="P326" i="5"/>
  <c r="Q326" i="5" s="1"/>
  <c r="J326" i="5"/>
  <c r="K326" i="5" s="1"/>
  <c r="M326" i="5"/>
  <c r="N326" i="5" s="1"/>
  <c r="M107" i="5" l="1"/>
  <c r="J325" i="5" l="1"/>
  <c r="K325" i="5" s="1"/>
  <c r="AH325" i="5"/>
  <c r="AI325" i="5" s="1"/>
  <c r="M325" i="5"/>
  <c r="N325" i="5" s="1"/>
  <c r="V325" i="5"/>
  <c r="W325" i="5" s="1"/>
  <c r="S325" i="5"/>
  <c r="T325" i="5" s="1"/>
  <c r="P325" i="5"/>
  <c r="Q325" i="5" s="1"/>
  <c r="V324" i="5" l="1"/>
  <c r="W324" i="5" s="1"/>
  <c r="J324" i="5"/>
  <c r="K324" i="5" s="1"/>
  <c r="P324" i="5"/>
  <c r="Q324" i="5" s="1"/>
  <c r="M324" i="5"/>
  <c r="N324" i="5" s="1"/>
  <c r="AH324" i="5"/>
  <c r="AI324" i="5" s="1"/>
  <c r="S324" i="5"/>
  <c r="T324" i="5" s="1"/>
  <c r="J323" i="5" l="1"/>
  <c r="K323" i="5" s="1"/>
  <c r="M323" i="5"/>
  <c r="N323" i="5" s="1"/>
  <c r="P323" i="5"/>
  <c r="Q323" i="5" s="1"/>
  <c r="AH323" i="5"/>
  <c r="AI323" i="5" s="1"/>
  <c r="V323" i="5"/>
  <c r="W323" i="5" s="1"/>
  <c r="S323" i="5"/>
  <c r="T323" i="5" s="1"/>
  <c r="AH322" i="5" l="1"/>
  <c r="AI322" i="5" s="1"/>
  <c r="V322" i="5"/>
  <c r="W322" i="5" s="1"/>
  <c r="S322" i="5"/>
  <c r="T322" i="5" s="1"/>
  <c r="P322" i="5"/>
  <c r="Q322" i="5" s="1"/>
  <c r="M322" i="5"/>
  <c r="N322" i="5" s="1"/>
  <c r="J322" i="5"/>
  <c r="K322" i="5" s="1"/>
  <c r="J321" i="5"/>
  <c r="K321" i="5" s="1"/>
  <c r="M321" i="5"/>
  <c r="N321" i="5" s="1"/>
  <c r="P321" i="5"/>
  <c r="Q321" i="5" s="1"/>
  <c r="AH321" i="5"/>
  <c r="AI321" i="5" s="1"/>
  <c r="V321" i="5"/>
  <c r="W321" i="5" s="1"/>
  <c r="S321" i="5"/>
  <c r="T321" i="5" s="1"/>
  <c r="AH378" i="5"/>
  <c r="AI378" i="5" s="1"/>
  <c r="AH320" i="5" l="1"/>
  <c r="AI320" i="5" s="1"/>
  <c r="AE320" i="5"/>
  <c r="AF320" i="5" s="1"/>
  <c r="AB320" i="5"/>
  <c r="AC320" i="5" s="1"/>
  <c r="V320" i="5"/>
  <c r="W320" i="5" s="1"/>
  <c r="S320" i="5"/>
  <c r="T320" i="5" s="1"/>
  <c r="J320" i="5"/>
  <c r="K320" i="5" s="1"/>
  <c r="P320" i="5"/>
  <c r="Q320" i="5" s="1"/>
  <c r="N320" i="5"/>
  <c r="AH381" i="5" l="1"/>
  <c r="AI381" i="5" s="1"/>
  <c r="M33" i="5" l="1"/>
  <c r="N33" i="5" s="1"/>
  <c r="J33" i="5"/>
  <c r="K33" i="5" s="1"/>
  <c r="P33" i="5"/>
  <c r="Q33" i="5" s="1"/>
  <c r="AE33" i="5"/>
  <c r="AF33" i="5" s="1"/>
  <c r="AH33" i="5"/>
  <c r="AI33" i="5" s="1"/>
  <c r="AB33" i="5"/>
  <c r="AC33" i="5" s="1"/>
  <c r="V33" i="5"/>
  <c r="W33" i="5" s="1"/>
  <c r="S33" i="5"/>
  <c r="T33" i="5" s="1"/>
  <c r="AH319" i="5" l="1"/>
  <c r="AI319" i="5" s="1"/>
  <c r="AE319" i="5"/>
  <c r="AF319" i="5" s="1"/>
  <c r="AB319" i="5"/>
  <c r="AC319" i="5" s="1"/>
  <c r="J319" i="5"/>
  <c r="K319" i="5" s="1"/>
  <c r="V319" i="5"/>
  <c r="W319" i="5" s="1"/>
  <c r="P319" i="5"/>
  <c r="Q319" i="5" s="1"/>
  <c r="M319" i="5"/>
  <c r="N319" i="5" s="1"/>
  <c r="J377" i="5"/>
  <c r="K377" i="5" s="1"/>
  <c r="M377" i="5"/>
  <c r="N377" i="5" s="1"/>
  <c r="P377" i="5"/>
  <c r="Q377" i="5" s="1"/>
  <c r="S377" i="5"/>
  <c r="T377" i="5" s="1"/>
  <c r="V377" i="5"/>
  <c r="W377" i="5" s="1"/>
  <c r="S319" i="5"/>
  <c r="T319" i="5" s="1"/>
  <c r="AH315" i="5"/>
  <c r="AI315" i="5" s="1"/>
  <c r="M45" i="5" l="1"/>
  <c r="N45" i="5" s="1"/>
  <c r="AH377" i="5"/>
  <c r="AI377" i="5" s="1"/>
  <c r="P87" i="5" l="1"/>
  <c r="J318" i="5"/>
  <c r="K318" i="5" s="1"/>
  <c r="M318" i="5"/>
  <c r="N318" i="5" s="1"/>
  <c r="P318" i="5"/>
  <c r="Q318" i="5" s="1"/>
  <c r="AH318" i="5"/>
  <c r="AI318" i="5" s="1"/>
  <c r="AB318" i="5"/>
  <c r="AC318" i="5" s="1"/>
  <c r="V318" i="5"/>
  <c r="W318" i="5" s="1"/>
  <c r="S318" i="5"/>
  <c r="T318" i="5" s="1"/>
  <c r="AH317" i="5" l="1"/>
  <c r="AI317" i="5" s="1"/>
  <c r="AB317" i="5"/>
  <c r="AC317" i="5" s="1"/>
  <c r="V317" i="5"/>
  <c r="W317" i="5" s="1"/>
  <c r="S317" i="5"/>
  <c r="T317" i="5" s="1"/>
  <c r="P317" i="5"/>
  <c r="Q317" i="5" s="1"/>
  <c r="M317" i="5"/>
  <c r="N317" i="5" s="1"/>
  <c r="J317" i="5"/>
  <c r="K317" i="5" s="1"/>
  <c r="AH316" i="5"/>
  <c r="AI316" i="5" s="1"/>
  <c r="AB316" i="5"/>
  <c r="AC316" i="5" s="1"/>
  <c r="J316" i="5"/>
  <c r="K316" i="5" s="1"/>
  <c r="M316" i="5"/>
  <c r="N316" i="5" s="1"/>
  <c r="P316" i="5"/>
  <c r="Q316" i="5" s="1"/>
  <c r="V316" i="5"/>
  <c r="W316" i="5" s="1"/>
  <c r="J374" i="5"/>
  <c r="K374" i="5" s="1"/>
  <c r="J375" i="5"/>
  <c r="K375" i="5" s="1"/>
  <c r="J376" i="5"/>
  <c r="K376" i="5" s="1"/>
  <c r="J379" i="5"/>
  <c r="K379" i="5" s="1"/>
  <c r="J380" i="5"/>
  <c r="K380" i="5" s="1"/>
  <c r="M374" i="5"/>
  <c r="N374" i="5" s="1"/>
  <c r="M375" i="5"/>
  <c r="N375" i="5" s="1"/>
  <c r="M376" i="5"/>
  <c r="N376" i="5" s="1"/>
  <c r="M379" i="5"/>
  <c r="N379" i="5" s="1"/>
  <c r="M380" i="5"/>
  <c r="N380" i="5" s="1"/>
  <c r="P374" i="5"/>
  <c r="Q374" i="5" s="1"/>
  <c r="P375" i="5"/>
  <c r="Q375" i="5" s="1"/>
  <c r="P376" i="5"/>
  <c r="Q376" i="5" s="1"/>
  <c r="P379" i="5"/>
  <c r="Q379" i="5" s="1"/>
  <c r="P380" i="5"/>
  <c r="Q380" i="5" s="1"/>
  <c r="S374" i="5"/>
  <c r="T374" i="5" s="1"/>
  <c r="S375" i="5"/>
  <c r="T375" i="5" s="1"/>
  <c r="S376" i="5"/>
  <c r="T376" i="5" s="1"/>
  <c r="S379" i="5"/>
  <c r="T379" i="5" s="1"/>
  <c r="S380" i="5"/>
  <c r="T380" i="5" s="1"/>
  <c r="V374" i="5"/>
  <c r="W374" i="5" s="1"/>
  <c r="V375" i="5"/>
  <c r="W375" i="5" s="1"/>
  <c r="V376" i="5"/>
  <c r="W376" i="5" s="1"/>
  <c r="V379" i="5"/>
  <c r="W379" i="5" s="1"/>
  <c r="V380" i="5"/>
  <c r="W380" i="5" s="1"/>
  <c r="S316" i="5"/>
  <c r="T316" i="5" s="1"/>
  <c r="AB315" i="5"/>
  <c r="AC315" i="5" s="1"/>
  <c r="V315" i="5"/>
  <c r="W315" i="5" s="1"/>
  <c r="S315" i="5"/>
  <c r="T315" i="5" s="1"/>
  <c r="P315" i="5"/>
  <c r="Q315" i="5" s="1"/>
  <c r="M315" i="5"/>
  <c r="N315" i="5" s="1"/>
  <c r="J315" i="5"/>
  <c r="K315" i="5" s="1"/>
  <c r="AH314" i="5" l="1"/>
  <c r="AI314" i="5" s="1"/>
  <c r="AE4" i="5"/>
  <c r="AF4" i="5" s="1"/>
  <c r="AE5" i="5"/>
  <c r="AF5" i="5" s="1"/>
  <c r="AE6" i="5"/>
  <c r="AF6" i="5" s="1"/>
  <c r="AE7" i="5"/>
  <c r="AF7" i="5" s="1"/>
  <c r="AE8" i="5"/>
  <c r="AF8" i="5" s="1"/>
  <c r="AE9" i="5"/>
  <c r="AF9" i="5" s="1"/>
  <c r="AE10" i="5"/>
  <c r="AF10" i="5" s="1"/>
  <c r="AE11" i="5"/>
  <c r="AF11" i="5" s="1"/>
  <c r="AE12" i="5"/>
  <c r="AF12" i="5" s="1"/>
  <c r="AE13" i="5"/>
  <c r="AF13" i="5" s="1"/>
  <c r="AE14" i="5"/>
  <c r="AF14" i="5" s="1"/>
  <c r="AE15" i="5"/>
  <c r="AF15" i="5" s="1"/>
  <c r="AE16" i="5"/>
  <c r="AF16" i="5" s="1"/>
  <c r="AE17" i="5"/>
  <c r="AF17" i="5" s="1"/>
  <c r="AE18" i="5"/>
  <c r="AF18" i="5" s="1"/>
  <c r="AE19" i="5"/>
  <c r="AF19" i="5" s="1"/>
  <c r="AE20" i="5"/>
  <c r="AF20" i="5" s="1"/>
  <c r="AE21" i="5"/>
  <c r="AF21" i="5" s="1"/>
  <c r="AE22" i="5"/>
  <c r="AF22" i="5" s="1"/>
  <c r="AE23" i="5"/>
  <c r="AF23" i="5" s="1"/>
  <c r="AE24" i="5"/>
  <c r="AF24" i="5" s="1"/>
  <c r="AE25" i="5"/>
  <c r="AF25" i="5" s="1"/>
  <c r="AE26" i="5"/>
  <c r="AF26" i="5" s="1"/>
  <c r="AE27" i="5"/>
  <c r="AF27" i="5" s="1"/>
  <c r="AE28" i="5"/>
  <c r="AF28" i="5" s="1"/>
  <c r="AE29" i="5"/>
  <c r="AF29" i="5" s="1"/>
  <c r="AE30" i="5"/>
  <c r="AF30" i="5" s="1"/>
  <c r="AE31" i="5"/>
  <c r="AF31" i="5" s="1"/>
  <c r="AE3" i="5"/>
  <c r="AF3" i="5" s="1"/>
  <c r="AE34" i="5"/>
  <c r="AF34" i="5" s="1"/>
  <c r="AE35" i="5"/>
  <c r="AF35" i="5" s="1"/>
  <c r="AE36" i="5"/>
  <c r="AF36" i="5" s="1"/>
  <c r="AE37" i="5"/>
  <c r="AF37" i="5" s="1"/>
  <c r="AE38" i="5"/>
  <c r="AF38" i="5" s="1"/>
  <c r="AE39" i="5"/>
  <c r="AF39" i="5" s="1"/>
  <c r="AE40" i="5"/>
  <c r="AF40" i="5" s="1"/>
  <c r="AE41" i="5"/>
  <c r="AF41" i="5" s="1"/>
  <c r="AE42" i="5"/>
  <c r="AF42" i="5" s="1"/>
  <c r="AE43" i="5"/>
  <c r="AF43" i="5" s="1"/>
  <c r="AE44" i="5"/>
  <c r="AF44" i="5" s="1"/>
  <c r="AE45" i="5"/>
  <c r="AF45" i="5" s="1"/>
  <c r="AE46" i="5"/>
  <c r="AF46" i="5" s="1"/>
  <c r="AE47" i="5"/>
  <c r="AF47" i="5" s="1"/>
  <c r="AE48" i="5"/>
  <c r="AF48" i="5" s="1"/>
  <c r="AE49" i="5"/>
  <c r="AF49" i="5" s="1"/>
  <c r="AE50" i="5"/>
  <c r="AF50" i="5" s="1"/>
  <c r="AE51" i="5"/>
  <c r="AF51" i="5" s="1"/>
  <c r="AE52" i="5"/>
  <c r="AF52" i="5" s="1"/>
  <c r="AE54" i="5"/>
  <c r="AF54" i="5" s="1"/>
  <c r="AE55" i="5"/>
  <c r="AF55" i="5" s="1"/>
  <c r="AE56" i="5"/>
  <c r="AF56" i="5" s="1"/>
  <c r="AE57" i="5"/>
  <c r="AF57" i="5" s="1"/>
  <c r="AE58" i="5"/>
  <c r="AF58" i="5" s="1"/>
  <c r="AE59" i="5"/>
  <c r="AF59" i="5" s="1"/>
  <c r="AE60" i="5"/>
  <c r="AF60" i="5" s="1"/>
  <c r="AE61" i="5"/>
  <c r="AF61" i="5" s="1"/>
  <c r="AE62" i="5"/>
  <c r="AF62" i="5" s="1"/>
  <c r="AE63" i="5"/>
  <c r="AF63" i="5" s="1"/>
  <c r="AE64" i="5"/>
  <c r="AF64" i="5" s="1"/>
  <c r="AE65" i="5"/>
  <c r="AF65" i="5" s="1"/>
  <c r="AE66" i="5"/>
  <c r="AF66" i="5" s="1"/>
  <c r="AE67" i="5"/>
  <c r="AF67" i="5" s="1"/>
  <c r="AE68" i="5"/>
  <c r="AF68" i="5" s="1"/>
  <c r="AE69" i="5"/>
  <c r="AF69" i="5" s="1"/>
  <c r="AE70" i="5"/>
  <c r="AF70" i="5" s="1"/>
  <c r="AE71" i="5"/>
  <c r="AF71" i="5" s="1"/>
  <c r="AE72" i="5"/>
  <c r="AF72" i="5" s="1"/>
  <c r="AE73" i="5"/>
  <c r="AF73" i="5" s="1"/>
  <c r="AE74" i="5"/>
  <c r="AF74" i="5" s="1"/>
  <c r="AE75" i="5"/>
  <c r="AF75" i="5" s="1"/>
  <c r="AE76" i="5"/>
  <c r="AF76" i="5" s="1"/>
  <c r="AE77" i="5"/>
  <c r="AF77" i="5" s="1"/>
  <c r="AE78" i="5"/>
  <c r="AF78" i="5" s="1"/>
  <c r="AE79" i="5"/>
  <c r="AF79" i="5" s="1"/>
  <c r="AE80" i="5"/>
  <c r="AF80" i="5" s="1"/>
  <c r="AE81" i="5"/>
  <c r="AF81" i="5" s="1"/>
  <c r="AE82" i="5"/>
  <c r="AF82" i="5" s="1"/>
  <c r="J314" i="5"/>
  <c r="K314" i="5" s="1"/>
  <c r="M314" i="5"/>
  <c r="N314" i="5" s="1"/>
  <c r="V314" i="5"/>
  <c r="W314" i="5" s="1"/>
  <c r="P314" i="5"/>
  <c r="Q314" i="5" s="1"/>
  <c r="S314" i="5"/>
  <c r="T314" i="5" s="1"/>
  <c r="AE53" i="5"/>
  <c r="AF53" i="5" s="1"/>
  <c r="AE84" i="5"/>
  <c r="AF84" i="5" s="1"/>
  <c r="AE85" i="5"/>
  <c r="AF85" i="5" s="1"/>
  <c r="AE86" i="5"/>
  <c r="AF86" i="5" s="1"/>
  <c r="AE87" i="5"/>
  <c r="AF87" i="5" s="1"/>
  <c r="AE88" i="5"/>
  <c r="AF88" i="5" s="1"/>
  <c r="AE89" i="5"/>
  <c r="AF89" i="5" s="1"/>
  <c r="AE90" i="5"/>
  <c r="AF90" i="5" s="1"/>
  <c r="AE91" i="5"/>
  <c r="AF91" i="5" s="1"/>
  <c r="AE92" i="5"/>
  <c r="AF92" i="5" s="1"/>
  <c r="AE93" i="5"/>
  <c r="AF93" i="5" s="1"/>
  <c r="AE94" i="5"/>
  <c r="AF94" i="5" s="1"/>
  <c r="AE95" i="5"/>
  <c r="AF95" i="5" s="1"/>
  <c r="AE96" i="5"/>
  <c r="AF96" i="5" s="1"/>
  <c r="AE97" i="5"/>
  <c r="AF97" i="5" s="1"/>
  <c r="AE98" i="5"/>
  <c r="AF98" i="5" s="1"/>
  <c r="AE99" i="5"/>
  <c r="AF99" i="5" s="1"/>
  <c r="AE100" i="5"/>
  <c r="AF100" i="5" s="1"/>
  <c r="AE101" i="5"/>
  <c r="AF101" i="5" s="1"/>
  <c r="AE102" i="5"/>
  <c r="AF102" i="5" s="1"/>
  <c r="AE103" i="5"/>
  <c r="AF103" i="5" s="1"/>
  <c r="AE104" i="5"/>
  <c r="AF104" i="5" s="1"/>
  <c r="AE105" i="5"/>
  <c r="AF105" i="5" s="1"/>
  <c r="AE106" i="5"/>
  <c r="AF106" i="5" s="1"/>
  <c r="AE107" i="5"/>
  <c r="AF107" i="5" s="1"/>
  <c r="AE109" i="5"/>
  <c r="AF109" i="5" s="1"/>
  <c r="AE110" i="5"/>
  <c r="AF110" i="5" s="1"/>
  <c r="AE111" i="5"/>
  <c r="AF111" i="5" s="1"/>
  <c r="AE112" i="5"/>
  <c r="AF112" i="5" s="1"/>
  <c r="AE113" i="5"/>
  <c r="AF113" i="5" s="1"/>
  <c r="AE114" i="5"/>
  <c r="AF114" i="5" s="1"/>
  <c r="AE115" i="5"/>
  <c r="AF115" i="5" s="1"/>
  <c r="AE116" i="5"/>
  <c r="AF116" i="5" s="1"/>
  <c r="AE117" i="5"/>
  <c r="AF117" i="5" s="1"/>
  <c r="AE118" i="5"/>
  <c r="AF118" i="5" s="1"/>
  <c r="AE119" i="5"/>
  <c r="AF119" i="5" s="1"/>
  <c r="AE120" i="5"/>
  <c r="AF120" i="5" s="1"/>
  <c r="AE121" i="5"/>
  <c r="AF121" i="5" s="1"/>
  <c r="AE122" i="5"/>
  <c r="AF122" i="5" s="1"/>
  <c r="AE123" i="5"/>
  <c r="AF123" i="5" s="1"/>
  <c r="AE124" i="5"/>
  <c r="AF124" i="5" s="1"/>
  <c r="AE125" i="5"/>
  <c r="AF125" i="5" s="1"/>
  <c r="AE126" i="5"/>
  <c r="AF126" i="5" s="1"/>
  <c r="AE127" i="5"/>
  <c r="AF127" i="5" s="1"/>
  <c r="AE128" i="5"/>
  <c r="AF128" i="5" s="1"/>
  <c r="AE129" i="5"/>
  <c r="AF129" i="5" s="1"/>
  <c r="AE130" i="5"/>
  <c r="AF130" i="5" s="1"/>
  <c r="AE131" i="5"/>
  <c r="AF131" i="5" s="1"/>
  <c r="AE132" i="5"/>
  <c r="AF132" i="5" s="1"/>
  <c r="AE133" i="5"/>
  <c r="AF133" i="5" s="1"/>
  <c r="AE134" i="5"/>
  <c r="AF134" i="5" s="1"/>
  <c r="AE135" i="5"/>
  <c r="AF135" i="5" s="1"/>
  <c r="AE136" i="5"/>
  <c r="AF136" i="5" s="1"/>
  <c r="AE137" i="5"/>
  <c r="AF137" i="5" s="1"/>
  <c r="AE138" i="5"/>
  <c r="AF138" i="5" s="1"/>
  <c r="AE139" i="5"/>
  <c r="AF139" i="5" s="1"/>
  <c r="AE140" i="5"/>
  <c r="AF140" i="5" s="1"/>
  <c r="AE141" i="5"/>
  <c r="AF141" i="5" s="1"/>
  <c r="AE142" i="5"/>
  <c r="AF142" i="5" s="1"/>
  <c r="AE143" i="5"/>
  <c r="AF143" i="5" s="1"/>
  <c r="AE144" i="5"/>
  <c r="AF144" i="5" s="1"/>
  <c r="AE145" i="5"/>
  <c r="AF145" i="5" s="1"/>
  <c r="AE146" i="5"/>
  <c r="AF146" i="5" s="1"/>
  <c r="AE147" i="5"/>
  <c r="AF147" i="5" s="1"/>
  <c r="AE148" i="5"/>
  <c r="AF148" i="5" s="1"/>
  <c r="AE149" i="5"/>
  <c r="AF149" i="5" s="1"/>
  <c r="AE150" i="5"/>
  <c r="AF150" i="5" s="1"/>
  <c r="AE151" i="5"/>
  <c r="AF151" i="5" s="1"/>
  <c r="AE152" i="5"/>
  <c r="AF152" i="5" s="1"/>
  <c r="AE153" i="5"/>
  <c r="AF153" i="5" s="1"/>
  <c r="AE154" i="5"/>
  <c r="AF154" i="5" s="1"/>
  <c r="AE155" i="5"/>
  <c r="AF155" i="5" s="1"/>
  <c r="AE156" i="5"/>
  <c r="AF156" i="5" s="1"/>
  <c r="AE157" i="5"/>
  <c r="AF157" i="5" s="1"/>
  <c r="AE158" i="5"/>
  <c r="AF158" i="5" s="1"/>
  <c r="AE159" i="5"/>
  <c r="AF159" i="5" s="1"/>
  <c r="AE160" i="5"/>
  <c r="AF160" i="5" s="1"/>
  <c r="AE161" i="5"/>
  <c r="AF161" i="5" s="1"/>
  <c r="AE162" i="5"/>
  <c r="AF162" i="5" s="1"/>
  <c r="AE163" i="5"/>
  <c r="AF163" i="5" s="1"/>
  <c r="AE164" i="5"/>
  <c r="AF164" i="5" s="1"/>
  <c r="AE165" i="5"/>
  <c r="AF165" i="5" s="1"/>
  <c r="AE166" i="5"/>
  <c r="AF166" i="5" s="1"/>
  <c r="AE167" i="5"/>
  <c r="AF167" i="5" s="1"/>
  <c r="AE168" i="5"/>
  <c r="AF168" i="5" s="1"/>
  <c r="AE169" i="5"/>
  <c r="AF169" i="5" s="1"/>
  <c r="AE170" i="5"/>
  <c r="AF170" i="5" s="1"/>
  <c r="AE171" i="5"/>
  <c r="AF171" i="5" s="1"/>
  <c r="AE172" i="5"/>
  <c r="AF172" i="5" s="1"/>
  <c r="AE173" i="5"/>
  <c r="AF173" i="5" s="1"/>
  <c r="AE174" i="5"/>
  <c r="AF174" i="5" s="1"/>
  <c r="AE175" i="5"/>
  <c r="AF175" i="5" s="1"/>
  <c r="AE176" i="5"/>
  <c r="AF176" i="5" s="1"/>
  <c r="AE177" i="5"/>
  <c r="AF177" i="5" s="1"/>
  <c r="AE178" i="5"/>
  <c r="AF178" i="5" s="1"/>
  <c r="AE179" i="5"/>
  <c r="AF179" i="5" s="1"/>
  <c r="AE180" i="5"/>
  <c r="AF180" i="5" s="1"/>
  <c r="AE181" i="5"/>
  <c r="AF181" i="5" s="1"/>
  <c r="AE182" i="5"/>
  <c r="AF182" i="5" s="1"/>
  <c r="AE183" i="5"/>
  <c r="AF183" i="5" s="1"/>
  <c r="AE184" i="5"/>
  <c r="AF184" i="5" s="1"/>
  <c r="AE185" i="5"/>
  <c r="AF185" i="5" s="1"/>
  <c r="AE186" i="5"/>
  <c r="AF186" i="5" s="1"/>
  <c r="AE187" i="5"/>
  <c r="AF187" i="5" s="1"/>
  <c r="AE188" i="5"/>
  <c r="AF188" i="5" s="1"/>
  <c r="AE189" i="5"/>
  <c r="AF189" i="5" s="1"/>
  <c r="AE190" i="5"/>
  <c r="AF190" i="5" s="1"/>
  <c r="AE191" i="5"/>
  <c r="AF191" i="5" s="1"/>
  <c r="AE192" i="5"/>
  <c r="AF192" i="5" s="1"/>
  <c r="AE193" i="5"/>
  <c r="AF193" i="5" s="1"/>
  <c r="AE194" i="5"/>
  <c r="AF194" i="5" s="1"/>
  <c r="AE195" i="5"/>
  <c r="AF195" i="5" s="1"/>
  <c r="AE196" i="5"/>
  <c r="AF196" i="5" s="1"/>
  <c r="AE197" i="5"/>
  <c r="AF197" i="5" s="1"/>
  <c r="AE198" i="5"/>
  <c r="AF198" i="5" s="1"/>
  <c r="AE199" i="5"/>
  <c r="AF199" i="5" s="1"/>
  <c r="AE200" i="5"/>
  <c r="AF200" i="5" s="1"/>
  <c r="AE201" i="5"/>
  <c r="AF201" i="5" s="1"/>
  <c r="AE202" i="5"/>
  <c r="AF202" i="5" s="1"/>
  <c r="AE203" i="5"/>
  <c r="AF203" i="5" s="1"/>
  <c r="AE204" i="5"/>
  <c r="AF204" i="5" s="1"/>
  <c r="AE205" i="5"/>
  <c r="AF205" i="5" s="1"/>
  <c r="AE206" i="5"/>
  <c r="AF206" i="5" s="1"/>
  <c r="AE207" i="5"/>
  <c r="AF207" i="5" s="1"/>
  <c r="AE208" i="5"/>
  <c r="AF208" i="5" s="1"/>
  <c r="AE209" i="5"/>
  <c r="AF209" i="5" s="1"/>
  <c r="AE210" i="5"/>
  <c r="AF210" i="5" s="1"/>
  <c r="AE211" i="5"/>
  <c r="AF211" i="5" s="1"/>
  <c r="AE212" i="5"/>
  <c r="AF212" i="5" s="1"/>
  <c r="AE213" i="5"/>
  <c r="AF213" i="5" s="1"/>
  <c r="AE214" i="5"/>
  <c r="AF214" i="5" s="1"/>
  <c r="AE215" i="5"/>
  <c r="AF215" i="5" s="1"/>
  <c r="AE216" i="5"/>
  <c r="AF216" i="5" s="1"/>
  <c r="AE217" i="5"/>
  <c r="AF217" i="5" s="1"/>
  <c r="AE218" i="5"/>
  <c r="AF218" i="5" s="1"/>
  <c r="AE219" i="5"/>
  <c r="AF219" i="5" s="1"/>
  <c r="AE220" i="5"/>
  <c r="AF220" i="5" s="1"/>
  <c r="AE221" i="5"/>
  <c r="AF221" i="5" s="1"/>
  <c r="AE222" i="5"/>
  <c r="AF222" i="5" s="1"/>
  <c r="AE223" i="5"/>
  <c r="AF223" i="5" s="1"/>
  <c r="AE224" i="5"/>
  <c r="AF224" i="5" s="1"/>
  <c r="AE225" i="5"/>
  <c r="AF225" i="5" s="1"/>
  <c r="AE226" i="5"/>
  <c r="AF226" i="5" s="1"/>
  <c r="AE227" i="5"/>
  <c r="AF227" i="5" s="1"/>
  <c r="AE228" i="5"/>
  <c r="AF228" i="5" s="1"/>
  <c r="AE229" i="5"/>
  <c r="AF229" i="5" s="1"/>
  <c r="AE230" i="5"/>
  <c r="AF230" i="5" s="1"/>
  <c r="AE231" i="5"/>
  <c r="AF231" i="5" s="1"/>
  <c r="AE232" i="5"/>
  <c r="AF232" i="5" s="1"/>
  <c r="AE233" i="5"/>
  <c r="AF233" i="5" s="1"/>
  <c r="AE234" i="5"/>
  <c r="AF234" i="5" s="1"/>
  <c r="AE235" i="5"/>
  <c r="AF235" i="5" s="1"/>
  <c r="AE236" i="5"/>
  <c r="AF236" i="5" s="1"/>
  <c r="AE237" i="5"/>
  <c r="AF237" i="5" s="1"/>
  <c r="AE238" i="5"/>
  <c r="AF238" i="5" s="1"/>
  <c r="AE239" i="5"/>
  <c r="AF239" i="5" s="1"/>
  <c r="AE240" i="5"/>
  <c r="AF240" i="5" s="1"/>
  <c r="AE241" i="5"/>
  <c r="AF241" i="5" s="1"/>
  <c r="AE242" i="5"/>
  <c r="AF242" i="5" s="1"/>
  <c r="AE243" i="5"/>
  <c r="AF243" i="5" s="1"/>
  <c r="AE244" i="5"/>
  <c r="AF244" i="5" s="1"/>
  <c r="AE245" i="5"/>
  <c r="AF245" i="5" s="1"/>
  <c r="AE246" i="5"/>
  <c r="AF246" i="5" s="1"/>
  <c r="AE247" i="5"/>
  <c r="AF247" i="5" s="1"/>
  <c r="AE248" i="5"/>
  <c r="AF248" i="5" s="1"/>
  <c r="AE249" i="5"/>
  <c r="AF249" i="5" s="1"/>
  <c r="AE250" i="5"/>
  <c r="AF250" i="5" s="1"/>
  <c r="AE251" i="5"/>
  <c r="AF251" i="5" s="1"/>
  <c r="AE252" i="5"/>
  <c r="AF252" i="5" s="1"/>
  <c r="AE253" i="5"/>
  <c r="AF253" i="5" s="1"/>
  <c r="AE254" i="5"/>
  <c r="AF254" i="5" s="1"/>
  <c r="AE255" i="5"/>
  <c r="AF255" i="5" s="1"/>
  <c r="AE256" i="5"/>
  <c r="AF256" i="5" s="1"/>
  <c r="AE257" i="5"/>
  <c r="AF257" i="5" s="1"/>
  <c r="AE258" i="5"/>
  <c r="AF258" i="5" s="1"/>
  <c r="AE259" i="5"/>
  <c r="AF259" i="5" s="1"/>
  <c r="AE260" i="5"/>
  <c r="AF260" i="5" s="1"/>
  <c r="AE261" i="5"/>
  <c r="AF261" i="5" s="1"/>
  <c r="AE262" i="5"/>
  <c r="AF262" i="5" s="1"/>
  <c r="AE263" i="5"/>
  <c r="AF263" i="5" s="1"/>
  <c r="AE264" i="5"/>
  <c r="AF264" i="5" s="1"/>
  <c r="AE265" i="5"/>
  <c r="AF265" i="5" s="1"/>
  <c r="AE266" i="5"/>
  <c r="AF266" i="5" s="1"/>
  <c r="AE267" i="5"/>
  <c r="AF267" i="5" s="1"/>
  <c r="AE268" i="5"/>
  <c r="AF268" i="5" s="1"/>
  <c r="AE269" i="5"/>
  <c r="AF269" i="5" s="1"/>
  <c r="AE270" i="5"/>
  <c r="AF270" i="5" s="1"/>
  <c r="AE271" i="5"/>
  <c r="AF271" i="5" s="1"/>
  <c r="AE272" i="5"/>
  <c r="AF272" i="5" s="1"/>
  <c r="AE273" i="5"/>
  <c r="AF273" i="5" s="1"/>
  <c r="AE274" i="5"/>
  <c r="AF274" i="5" s="1"/>
  <c r="AE275" i="5"/>
  <c r="AF275" i="5" s="1"/>
  <c r="AE276" i="5"/>
  <c r="AF276" i="5" s="1"/>
  <c r="AE277" i="5"/>
  <c r="AF277" i="5" s="1"/>
  <c r="AE278" i="5"/>
  <c r="AF278" i="5" s="1"/>
  <c r="AE279" i="5"/>
  <c r="AF279" i="5" s="1"/>
  <c r="AE280" i="5"/>
  <c r="AF280" i="5" s="1"/>
  <c r="AE281" i="5"/>
  <c r="AF281" i="5" s="1"/>
  <c r="AE282" i="5"/>
  <c r="AF282" i="5" s="1"/>
  <c r="AE283" i="5"/>
  <c r="AF283" i="5" s="1"/>
  <c r="AE284" i="5"/>
  <c r="AF284" i="5" s="1"/>
  <c r="AE285" i="5"/>
  <c r="AF285" i="5" s="1"/>
  <c r="AE286" i="5"/>
  <c r="AF286" i="5" s="1"/>
  <c r="AE287" i="5"/>
  <c r="AF287" i="5" s="1"/>
  <c r="AE288" i="5"/>
  <c r="AF288" i="5" s="1"/>
  <c r="AE289" i="5"/>
  <c r="AF289" i="5" s="1"/>
  <c r="AE290" i="5"/>
  <c r="AF290" i="5" s="1"/>
  <c r="AE291" i="5"/>
  <c r="AF291" i="5" s="1"/>
  <c r="AE292" i="5"/>
  <c r="AF292" i="5" s="1"/>
  <c r="AE293" i="5"/>
  <c r="AF293" i="5" s="1"/>
  <c r="AE294" i="5"/>
  <c r="AF294" i="5" s="1"/>
  <c r="AE295" i="5"/>
  <c r="AF295" i="5" s="1"/>
  <c r="AE296" i="5"/>
  <c r="AF296" i="5" s="1"/>
  <c r="AE297" i="5"/>
  <c r="AF297" i="5" s="1"/>
  <c r="AE298" i="5"/>
  <c r="AF298" i="5" s="1"/>
  <c r="AE299" i="5"/>
  <c r="AF299" i="5" s="1"/>
  <c r="AE300" i="5"/>
  <c r="AF300" i="5" s="1"/>
  <c r="AE301" i="5"/>
  <c r="AF301" i="5" s="1"/>
  <c r="AE302" i="5"/>
  <c r="AF302" i="5" s="1"/>
  <c r="AE303" i="5"/>
  <c r="AF303" i="5" s="1"/>
  <c r="AE304" i="5"/>
  <c r="AF304" i="5" s="1"/>
  <c r="AE305" i="5"/>
  <c r="AF305" i="5" s="1"/>
  <c r="AE306" i="5"/>
  <c r="AF306" i="5" s="1"/>
  <c r="AE307" i="5"/>
  <c r="AF307" i="5" s="1"/>
  <c r="AE308" i="5"/>
  <c r="AF308" i="5" s="1"/>
  <c r="AE309" i="5"/>
  <c r="AF309" i="5" s="1"/>
  <c r="AE310" i="5"/>
  <c r="AF310" i="5" s="1"/>
  <c r="AE311" i="5"/>
  <c r="AF311" i="5" s="1"/>
  <c r="AE312" i="5"/>
  <c r="AF312" i="5" s="1"/>
  <c r="AE374" i="5"/>
  <c r="AF374" i="5" s="1"/>
  <c r="AE375" i="5"/>
  <c r="AF375" i="5" s="1"/>
  <c r="AE376" i="5"/>
  <c r="AF376" i="5" s="1"/>
  <c r="AE379" i="5"/>
  <c r="AF379" i="5" s="1"/>
  <c r="AE380" i="5"/>
  <c r="AF380" i="5" s="1"/>
  <c r="AE313" i="5"/>
  <c r="AF313" i="5" s="1"/>
  <c r="AE314" i="5"/>
  <c r="AF314" i="5" s="1"/>
  <c r="AE315" i="5"/>
  <c r="AF315" i="5" s="1"/>
  <c r="AE316" i="5"/>
  <c r="AF316" i="5" s="1"/>
  <c r="AE317" i="5"/>
  <c r="AF317" i="5" s="1"/>
  <c r="AE318" i="5"/>
  <c r="AF318" i="5" s="1"/>
  <c r="AE330" i="5"/>
  <c r="AF330" i="5" s="1"/>
  <c r="AE331" i="5"/>
  <c r="AF331" i="5" s="1"/>
  <c r="AH313" i="5"/>
  <c r="AI313" i="5" s="1"/>
  <c r="AB313" i="5"/>
  <c r="AC313" i="5" s="1"/>
  <c r="V313" i="5"/>
  <c r="W313" i="5" s="1"/>
  <c r="S313" i="5"/>
  <c r="T313" i="5" s="1"/>
  <c r="P313" i="5"/>
  <c r="Q313" i="5" s="1"/>
  <c r="M313" i="5"/>
  <c r="N313" i="5" s="1"/>
  <c r="J313" i="5"/>
  <c r="K313" i="5" s="1"/>
  <c r="AH93" i="5"/>
  <c r="AI93" i="5" s="1"/>
  <c r="AH94" i="5"/>
  <c r="AI94" i="5" s="1"/>
  <c r="AH95" i="5"/>
  <c r="AI95" i="5" s="1"/>
  <c r="AH96" i="5"/>
  <c r="AI96" i="5" s="1"/>
  <c r="AH97" i="5"/>
  <c r="AI97" i="5" s="1"/>
  <c r="AH98" i="5"/>
  <c r="AI98" i="5" s="1"/>
  <c r="AH99" i="5"/>
  <c r="AI99" i="5" s="1"/>
  <c r="AH100" i="5"/>
  <c r="AI100" i="5" s="1"/>
  <c r="AH101" i="5"/>
  <c r="AI101" i="5" s="1"/>
  <c r="AH102" i="5"/>
  <c r="AI102" i="5" s="1"/>
  <c r="AH103" i="5"/>
  <c r="AI103" i="5" s="1"/>
  <c r="AH104" i="5"/>
  <c r="AI104" i="5" s="1"/>
  <c r="AH105" i="5"/>
  <c r="AI105" i="5" s="1"/>
  <c r="AH106" i="5"/>
  <c r="AI106" i="5" s="1"/>
  <c r="AH107" i="5"/>
  <c r="AI107" i="5" s="1"/>
  <c r="AH109" i="5"/>
  <c r="AI109" i="5" s="1"/>
  <c r="AH110" i="5"/>
  <c r="AI110" i="5" s="1"/>
  <c r="AH111" i="5"/>
  <c r="AI111" i="5" s="1"/>
  <c r="AH112" i="5"/>
  <c r="AI112" i="5" s="1"/>
  <c r="AH113" i="5"/>
  <c r="AI113" i="5" s="1"/>
  <c r="AH114" i="5"/>
  <c r="AI114" i="5" s="1"/>
  <c r="AH115" i="5"/>
  <c r="AI115" i="5" s="1"/>
  <c r="AH116" i="5"/>
  <c r="AI116" i="5" s="1"/>
  <c r="AH117" i="5"/>
  <c r="AI117" i="5" s="1"/>
  <c r="AH118" i="5"/>
  <c r="AI118" i="5" s="1"/>
  <c r="AH119" i="5"/>
  <c r="AI119" i="5" s="1"/>
  <c r="AH120" i="5"/>
  <c r="AI120" i="5" s="1"/>
  <c r="AH121" i="5"/>
  <c r="AI121" i="5" s="1"/>
  <c r="AH122" i="5"/>
  <c r="AI122" i="5" s="1"/>
  <c r="AH123" i="5"/>
  <c r="AI123" i="5" s="1"/>
  <c r="AH124" i="5"/>
  <c r="AI124" i="5" s="1"/>
  <c r="AH125" i="5"/>
  <c r="AI125" i="5" s="1"/>
  <c r="AH126" i="5"/>
  <c r="AI126" i="5" s="1"/>
  <c r="AH127" i="5"/>
  <c r="AI127" i="5" s="1"/>
  <c r="AH128" i="5"/>
  <c r="AI128" i="5" s="1"/>
  <c r="AH129" i="5"/>
  <c r="AI129" i="5" s="1"/>
  <c r="AH130" i="5"/>
  <c r="AI130" i="5" s="1"/>
  <c r="AH131" i="5"/>
  <c r="AI131" i="5" s="1"/>
  <c r="AH132" i="5"/>
  <c r="AI132" i="5" s="1"/>
  <c r="AH133" i="5"/>
  <c r="AI133" i="5" s="1"/>
  <c r="AH134" i="5"/>
  <c r="AI134" i="5" s="1"/>
  <c r="AH135" i="5"/>
  <c r="AI135" i="5" s="1"/>
  <c r="AH136" i="5"/>
  <c r="AI136" i="5" s="1"/>
  <c r="AH137" i="5"/>
  <c r="AI137" i="5" s="1"/>
  <c r="AH138" i="5"/>
  <c r="AI138" i="5" s="1"/>
  <c r="AH139" i="5"/>
  <c r="AI139" i="5" s="1"/>
  <c r="AH140" i="5"/>
  <c r="AI140" i="5" s="1"/>
  <c r="AH141" i="5"/>
  <c r="AI141" i="5" s="1"/>
  <c r="AH142" i="5"/>
  <c r="AI142" i="5" s="1"/>
  <c r="AH143" i="5"/>
  <c r="AI143" i="5" s="1"/>
  <c r="AH144" i="5"/>
  <c r="AI144" i="5" s="1"/>
  <c r="AH145" i="5"/>
  <c r="AI145" i="5" s="1"/>
  <c r="AH146" i="5"/>
  <c r="AI146" i="5" s="1"/>
  <c r="AH147" i="5"/>
  <c r="AI147" i="5" s="1"/>
  <c r="AH148" i="5"/>
  <c r="AI148" i="5" s="1"/>
  <c r="AH149" i="5"/>
  <c r="AI149" i="5" s="1"/>
  <c r="AH150" i="5"/>
  <c r="AI150" i="5" s="1"/>
  <c r="AH151" i="5"/>
  <c r="AI151" i="5" s="1"/>
  <c r="AH152" i="5"/>
  <c r="AI152" i="5" s="1"/>
  <c r="AH153" i="5"/>
  <c r="AI153" i="5" s="1"/>
  <c r="AH154" i="5"/>
  <c r="AI154" i="5" s="1"/>
  <c r="AH155" i="5"/>
  <c r="AI155" i="5" s="1"/>
  <c r="AH156" i="5"/>
  <c r="AI156" i="5" s="1"/>
  <c r="AH157" i="5"/>
  <c r="AI157" i="5" s="1"/>
  <c r="AH158" i="5"/>
  <c r="AI158" i="5" s="1"/>
  <c r="AH159" i="5"/>
  <c r="AI159" i="5" s="1"/>
  <c r="AH160" i="5"/>
  <c r="AI160" i="5" s="1"/>
  <c r="AH161" i="5"/>
  <c r="AI161" i="5" s="1"/>
  <c r="AH162" i="5"/>
  <c r="AI162" i="5" s="1"/>
  <c r="AH163" i="5"/>
  <c r="AI163" i="5" s="1"/>
  <c r="AH164" i="5"/>
  <c r="AI164" i="5" s="1"/>
  <c r="AH165" i="5"/>
  <c r="AI165" i="5" s="1"/>
  <c r="AH166" i="5"/>
  <c r="AI166" i="5" s="1"/>
  <c r="AH167" i="5"/>
  <c r="AI167" i="5" s="1"/>
  <c r="AH168" i="5"/>
  <c r="AI168" i="5" s="1"/>
  <c r="AH169" i="5"/>
  <c r="AI169" i="5" s="1"/>
  <c r="AH170" i="5"/>
  <c r="AI170" i="5" s="1"/>
  <c r="AH171" i="5"/>
  <c r="AI171" i="5" s="1"/>
  <c r="AH172" i="5"/>
  <c r="AI172" i="5" s="1"/>
  <c r="AH173" i="5"/>
  <c r="AI173" i="5" s="1"/>
  <c r="AH174" i="5"/>
  <c r="AI174" i="5" s="1"/>
  <c r="AH175" i="5"/>
  <c r="AI175" i="5" s="1"/>
  <c r="AH176" i="5"/>
  <c r="AI176" i="5" s="1"/>
  <c r="AH177" i="5"/>
  <c r="AI177" i="5" s="1"/>
  <c r="AH178" i="5"/>
  <c r="AI178" i="5" s="1"/>
  <c r="AH179" i="5"/>
  <c r="AI179" i="5" s="1"/>
  <c r="AH180" i="5"/>
  <c r="AI180" i="5" s="1"/>
  <c r="AH181" i="5"/>
  <c r="AI181" i="5" s="1"/>
  <c r="AH182" i="5"/>
  <c r="AI182" i="5" s="1"/>
  <c r="AH183" i="5"/>
  <c r="AI183" i="5" s="1"/>
  <c r="AH184" i="5"/>
  <c r="AI184" i="5" s="1"/>
  <c r="AH185" i="5"/>
  <c r="AI185" i="5" s="1"/>
  <c r="AH186" i="5"/>
  <c r="AI186" i="5" s="1"/>
  <c r="AH187" i="5"/>
  <c r="AI187" i="5" s="1"/>
  <c r="AH188" i="5"/>
  <c r="AI188" i="5" s="1"/>
  <c r="AH189" i="5"/>
  <c r="AI189" i="5" s="1"/>
  <c r="AH190" i="5"/>
  <c r="AI190" i="5" s="1"/>
  <c r="AH191" i="5"/>
  <c r="AI191" i="5" s="1"/>
  <c r="AH192" i="5"/>
  <c r="AI192" i="5" s="1"/>
  <c r="AH193" i="5"/>
  <c r="AI193" i="5" s="1"/>
  <c r="AH194" i="5"/>
  <c r="AI194" i="5" s="1"/>
  <c r="AH195" i="5"/>
  <c r="AI195" i="5" s="1"/>
  <c r="AH196" i="5"/>
  <c r="AI196" i="5" s="1"/>
  <c r="AH197" i="5"/>
  <c r="AI197" i="5" s="1"/>
  <c r="AH198" i="5"/>
  <c r="AI198" i="5" s="1"/>
  <c r="AH199" i="5"/>
  <c r="AI199" i="5" s="1"/>
  <c r="AH200" i="5"/>
  <c r="AI200" i="5" s="1"/>
  <c r="AH201" i="5"/>
  <c r="AI201" i="5" s="1"/>
  <c r="AH202" i="5"/>
  <c r="AI202" i="5" s="1"/>
  <c r="AH203" i="5"/>
  <c r="AI203" i="5" s="1"/>
  <c r="AH204" i="5"/>
  <c r="AI204" i="5" s="1"/>
  <c r="AH205" i="5"/>
  <c r="AI205" i="5" s="1"/>
  <c r="AH206" i="5"/>
  <c r="AI206" i="5" s="1"/>
  <c r="AH207" i="5"/>
  <c r="AI207" i="5" s="1"/>
  <c r="AH208" i="5"/>
  <c r="AI208" i="5" s="1"/>
  <c r="AH209" i="5"/>
  <c r="AI209" i="5" s="1"/>
  <c r="AH210" i="5"/>
  <c r="AI210" i="5" s="1"/>
  <c r="AH211" i="5"/>
  <c r="AI211" i="5" s="1"/>
  <c r="AH212" i="5"/>
  <c r="AI212" i="5" s="1"/>
  <c r="AH213" i="5"/>
  <c r="AI213" i="5" s="1"/>
  <c r="AH214" i="5"/>
  <c r="AI214" i="5" s="1"/>
  <c r="AH215" i="5"/>
  <c r="AI215" i="5" s="1"/>
  <c r="AH216" i="5"/>
  <c r="AI216" i="5" s="1"/>
  <c r="AH217" i="5"/>
  <c r="AI217" i="5" s="1"/>
  <c r="AH218" i="5"/>
  <c r="AI218" i="5" s="1"/>
  <c r="AH219" i="5"/>
  <c r="AI219" i="5" s="1"/>
  <c r="AH220" i="5"/>
  <c r="AI220" i="5" s="1"/>
  <c r="AH221" i="5"/>
  <c r="AI221" i="5" s="1"/>
  <c r="AH222" i="5"/>
  <c r="AI222" i="5" s="1"/>
  <c r="AH223" i="5"/>
  <c r="AI223" i="5" s="1"/>
  <c r="AH224" i="5"/>
  <c r="AI224" i="5" s="1"/>
  <c r="AH225" i="5"/>
  <c r="AI225" i="5" s="1"/>
  <c r="AH226" i="5"/>
  <c r="AI226" i="5" s="1"/>
  <c r="AH227" i="5"/>
  <c r="AI227" i="5" s="1"/>
  <c r="AH228" i="5"/>
  <c r="AI228" i="5" s="1"/>
  <c r="AH229" i="5"/>
  <c r="AI229" i="5" s="1"/>
  <c r="AH230" i="5"/>
  <c r="AI230" i="5" s="1"/>
  <c r="AH231" i="5"/>
  <c r="AI231" i="5" s="1"/>
  <c r="AH232" i="5"/>
  <c r="AI232" i="5" s="1"/>
  <c r="AH233" i="5"/>
  <c r="AI233" i="5" s="1"/>
  <c r="AH234" i="5"/>
  <c r="AI234" i="5" s="1"/>
  <c r="AH235" i="5"/>
  <c r="AI235" i="5" s="1"/>
  <c r="AH236" i="5"/>
  <c r="AI236" i="5" s="1"/>
  <c r="AH237" i="5"/>
  <c r="AI237" i="5" s="1"/>
  <c r="AH238" i="5"/>
  <c r="AI238" i="5" s="1"/>
  <c r="AH239" i="5"/>
  <c r="AI239" i="5" s="1"/>
  <c r="AH240" i="5"/>
  <c r="AI240" i="5" s="1"/>
  <c r="AH241" i="5"/>
  <c r="AI241" i="5" s="1"/>
  <c r="AH242" i="5"/>
  <c r="AI242" i="5" s="1"/>
  <c r="AH243" i="5"/>
  <c r="AI243" i="5" s="1"/>
  <c r="AH244" i="5"/>
  <c r="AI244" i="5" s="1"/>
  <c r="AH245" i="5"/>
  <c r="AI245" i="5" s="1"/>
  <c r="AH246" i="5"/>
  <c r="AI246" i="5" s="1"/>
  <c r="AH247" i="5"/>
  <c r="AI247" i="5" s="1"/>
  <c r="AH248" i="5"/>
  <c r="AI248" i="5" s="1"/>
  <c r="AH249" i="5"/>
  <c r="AI249" i="5" s="1"/>
  <c r="AH250" i="5"/>
  <c r="AI250" i="5" s="1"/>
  <c r="AH251" i="5"/>
  <c r="AI251" i="5" s="1"/>
  <c r="AH252" i="5"/>
  <c r="AI252" i="5" s="1"/>
  <c r="AH253" i="5"/>
  <c r="AI253" i="5" s="1"/>
  <c r="AH254" i="5"/>
  <c r="AI254" i="5" s="1"/>
  <c r="AH255" i="5"/>
  <c r="AI255" i="5" s="1"/>
  <c r="AH256" i="5"/>
  <c r="AI256" i="5" s="1"/>
  <c r="AH257" i="5"/>
  <c r="AI257" i="5" s="1"/>
  <c r="AH258" i="5"/>
  <c r="AI258" i="5" s="1"/>
  <c r="AH259" i="5"/>
  <c r="AI259" i="5" s="1"/>
  <c r="AH260" i="5"/>
  <c r="AI260" i="5" s="1"/>
  <c r="AH261" i="5"/>
  <c r="AI261" i="5" s="1"/>
  <c r="AH262" i="5"/>
  <c r="AI262" i="5" s="1"/>
  <c r="AH263" i="5"/>
  <c r="AI263" i="5" s="1"/>
  <c r="AH264" i="5"/>
  <c r="AI264" i="5" s="1"/>
  <c r="AH265" i="5"/>
  <c r="AI265" i="5" s="1"/>
  <c r="AH266" i="5"/>
  <c r="AI266" i="5" s="1"/>
  <c r="AH267" i="5"/>
  <c r="AI267" i="5" s="1"/>
  <c r="AH268" i="5"/>
  <c r="AI268" i="5" s="1"/>
  <c r="AH269" i="5"/>
  <c r="AI269" i="5" s="1"/>
  <c r="AH270" i="5"/>
  <c r="AI270" i="5" s="1"/>
  <c r="AH271" i="5"/>
  <c r="AI271" i="5" s="1"/>
  <c r="AH272" i="5"/>
  <c r="AI272" i="5" s="1"/>
  <c r="AH273" i="5"/>
  <c r="AI273" i="5" s="1"/>
  <c r="AH274" i="5"/>
  <c r="AI274" i="5" s="1"/>
  <c r="AH275" i="5"/>
  <c r="AI275" i="5" s="1"/>
  <c r="AH276" i="5"/>
  <c r="AI276" i="5" s="1"/>
  <c r="AH277" i="5"/>
  <c r="AI277" i="5" s="1"/>
  <c r="AH278" i="5"/>
  <c r="AI278" i="5" s="1"/>
  <c r="AH279" i="5"/>
  <c r="AI279" i="5" s="1"/>
  <c r="AH280" i="5"/>
  <c r="AI280" i="5" s="1"/>
  <c r="AH281" i="5"/>
  <c r="AI281" i="5" s="1"/>
  <c r="AH282" i="5"/>
  <c r="AI282" i="5" s="1"/>
  <c r="AH283" i="5"/>
  <c r="AI283" i="5" s="1"/>
  <c r="AH284" i="5"/>
  <c r="AI284" i="5" s="1"/>
  <c r="AH285" i="5"/>
  <c r="AI285" i="5" s="1"/>
  <c r="AH286" i="5"/>
  <c r="AI286" i="5" s="1"/>
  <c r="AH287" i="5"/>
  <c r="AI287" i="5" s="1"/>
  <c r="AH288" i="5"/>
  <c r="AI288" i="5" s="1"/>
  <c r="AH289" i="5"/>
  <c r="AI289" i="5" s="1"/>
  <c r="AH290" i="5"/>
  <c r="AI290" i="5" s="1"/>
  <c r="AH291" i="5"/>
  <c r="AI291" i="5" s="1"/>
  <c r="AH292" i="5"/>
  <c r="AI292" i="5" s="1"/>
  <c r="AH293" i="5"/>
  <c r="AI293" i="5" s="1"/>
  <c r="AH294" i="5"/>
  <c r="AI294" i="5" s="1"/>
  <c r="AH295" i="5"/>
  <c r="AI295" i="5" s="1"/>
  <c r="AH296" i="5"/>
  <c r="AI296" i="5" s="1"/>
  <c r="AH297" i="5"/>
  <c r="AI297" i="5" s="1"/>
  <c r="AH298" i="5"/>
  <c r="AI298" i="5" s="1"/>
  <c r="AH299" i="5"/>
  <c r="AI299" i="5" s="1"/>
  <c r="AH300" i="5"/>
  <c r="AI300" i="5" s="1"/>
  <c r="AH301" i="5"/>
  <c r="AI301" i="5" s="1"/>
  <c r="AH302" i="5"/>
  <c r="AI302" i="5" s="1"/>
  <c r="AH303" i="5"/>
  <c r="AI303" i="5" s="1"/>
  <c r="AH304" i="5"/>
  <c r="AI304" i="5" s="1"/>
  <c r="AH305" i="5"/>
  <c r="AI305" i="5" s="1"/>
  <c r="AH306" i="5"/>
  <c r="AI306" i="5" s="1"/>
  <c r="AH307" i="5"/>
  <c r="AI307" i="5" s="1"/>
  <c r="AH308" i="5"/>
  <c r="AI308" i="5" s="1"/>
  <c r="AH309" i="5"/>
  <c r="AI309" i="5" s="1"/>
  <c r="AH310" i="5"/>
  <c r="AI310" i="5" s="1"/>
  <c r="AH311" i="5"/>
  <c r="AI311" i="5" s="1"/>
  <c r="AH312" i="5"/>
  <c r="AI312" i="5" s="1"/>
  <c r="AH374" i="5"/>
  <c r="AI374" i="5" s="1"/>
  <c r="AH376" i="5"/>
  <c r="AI376" i="5" s="1"/>
  <c r="AH379" i="5"/>
  <c r="AI379" i="5" s="1"/>
  <c r="AH375" i="5"/>
  <c r="AI375" i="5" s="1"/>
  <c r="AH380" i="5"/>
  <c r="AI380" i="5" s="1"/>
  <c r="AH331" i="5"/>
  <c r="AI331" i="5" s="1"/>
  <c r="AH4" i="5"/>
  <c r="AI4" i="5" s="1"/>
  <c r="AH5" i="5"/>
  <c r="AI5" i="5" s="1"/>
  <c r="AH6" i="5"/>
  <c r="AI6" i="5" s="1"/>
  <c r="AH7" i="5"/>
  <c r="AI7" i="5" s="1"/>
  <c r="AH8" i="5"/>
  <c r="AI8" i="5" s="1"/>
  <c r="AH9" i="5"/>
  <c r="AI9" i="5" s="1"/>
  <c r="AH10" i="5"/>
  <c r="AI10" i="5" s="1"/>
  <c r="AH11" i="5"/>
  <c r="AI11" i="5" s="1"/>
  <c r="AH12" i="5"/>
  <c r="AI12" i="5" s="1"/>
  <c r="AH13" i="5"/>
  <c r="AI13" i="5" s="1"/>
  <c r="AH14" i="5"/>
  <c r="AI14" i="5" s="1"/>
  <c r="AH15" i="5"/>
  <c r="AI15" i="5" s="1"/>
  <c r="AH16" i="5"/>
  <c r="AI16" i="5" s="1"/>
  <c r="AH17" i="5"/>
  <c r="AI17" i="5" s="1"/>
  <c r="AH18" i="5"/>
  <c r="AI18" i="5" s="1"/>
  <c r="AH19" i="5"/>
  <c r="AI19" i="5" s="1"/>
  <c r="AH20" i="5"/>
  <c r="AI20" i="5" s="1"/>
  <c r="AH21" i="5"/>
  <c r="AI21" i="5" s="1"/>
  <c r="AH22" i="5"/>
  <c r="AI22" i="5" s="1"/>
  <c r="AH23" i="5"/>
  <c r="AI23" i="5" s="1"/>
  <c r="AH24" i="5"/>
  <c r="AI24" i="5" s="1"/>
  <c r="AH25" i="5"/>
  <c r="AI25" i="5" s="1"/>
  <c r="AH26" i="5"/>
  <c r="AI26" i="5" s="1"/>
  <c r="AH27" i="5"/>
  <c r="AI27" i="5" s="1"/>
  <c r="AH28" i="5"/>
  <c r="AI28" i="5" s="1"/>
  <c r="AH29" i="5"/>
  <c r="AI29" i="5" s="1"/>
  <c r="AH30" i="5"/>
  <c r="AI30" i="5" s="1"/>
  <c r="AH31" i="5"/>
  <c r="AI31" i="5" s="1"/>
  <c r="AH32" i="5"/>
  <c r="AI32" i="5" s="1"/>
  <c r="AH3" i="5"/>
  <c r="AI3" i="5" s="1"/>
  <c r="AH34" i="5"/>
  <c r="AI34" i="5" s="1"/>
  <c r="AH35" i="5"/>
  <c r="AI35" i="5" s="1"/>
  <c r="AH36" i="5"/>
  <c r="AI36" i="5" s="1"/>
  <c r="AH37" i="5"/>
  <c r="AI37" i="5" s="1"/>
  <c r="AH38" i="5"/>
  <c r="AI38" i="5" s="1"/>
  <c r="AH39" i="5"/>
  <c r="AI39" i="5" s="1"/>
  <c r="AH40" i="5"/>
  <c r="AI40" i="5" s="1"/>
  <c r="AH41" i="5"/>
  <c r="AI41" i="5" s="1"/>
  <c r="AH42" i="5"/>
  <c r="AI42" i="5" s="1"/>
  <c r="AH43" i="5"/>
  <c r="AI43" i="5" s="1"/>
  <c r="AH44" i="5"/>
  <c r="AI44" i="5" s="1"/>
  <c r="AH45" i="5"/>
  <c r="AI45" i="5" s="1"/>
  <c r="AH46" i="5"/>
  <c r="AI46" i="5" s="1"/>
  <c r="AH47" i="5"/>
  <c r="AI47" i="5" s="1"/>
  <c r="AH48" i="5"/>
  <c r="AI48" i="5" s="1"/>
  <c r="AH49" i="5"/>
  <c r="AI49" i="5" s="1"/>
  <c r="AH50" i="5"/>
  <c r="AI50" i="5" s="1"/>
  <c r="AH51" i="5"/>
  <c r="AI51" i="5" s="1"/>
  <c r="AH52" i="5"/>
  <c r="AI52" i="5" s="1"/>
  <c r="AH53" i="5"/>
  <c r="AI53" i="5" s="1"/>
  <c r="AH54" i="5"/>
  <c r="AI54" i="5" s="1"/>
  <c r="AH55" i="5"/>
  <c r="AI55" i="5" s="1"/>
  <c r="AH56" i="5"/>
  <c r="AI56" i="5" s="1"/>
  <c r="AH57" i="5"/>
  <c r="AI57" i="5" s="1"/>
  <c r="AH58" i="5"/>
  <c r="AI58" i="5" s="1"/>
  <c r="AH59" i="5"/>
  <c r="AI59" i="5" s="1"/>
  <c r="AH60" i="5"/>
  <c r="AI60" i="5" s="1"/>
  <c r="AH61" i="5"/>
  <c r="AI61" i="5" s="1"/>
  <c r="AH62" i="5"/>
  <c r="AI62" i="5" s="1"/>
  <c r="AH63" i="5"/>
  <c r="AI63" i="5" s="1"/>
  <c r="AH64" i="5"/>
  <c r="AI64" i="5" s="1"/>
  <c r="AH65" i="5"/>
  <c r="AI65" i="5" s="1"/>
  <c r="AH66" i="5"/>
  <c r="AI66" i="5" s="1"/>
  <c r="AH67" i="5"/>
  <c r="AI67" i="5" s="1"/>
  <c r="AH68" i="5"/>
  <c r="AI68" i="5" s="1"/>
  <c r="AH69" i="5"/>
  <c r="AI69" i="5" s="1"/>
  <c r="AH70" i="5"/>
  <c r="AI70" i="5" s="1"/>
  <c r="AH71" i="5"/>
  <c r="AI71" i="5" s="1"/>
  <c r="AH72" i="5"/>
  <c r="AI72" i="5" s="1"/>
  <c r="AH73" i="5"/>
  <c r="AI73" i="5" s="1"/>
  <c r="AH74" i="5"/>
  <c r="AI74" i="5" s="1"/>
  <c r="AH75" i="5"/>
  <c r="AI75" i="5" s="1"/>
  <c r="AH76" i="5"/>
  <c r="AI76" i="5" s="1"/>
  <c r="AH77" i="5"/>
  <c r="AI77" i="5" s="1"/>
  <c r="AH78" i="5"/>
  <c r="AI78" i="5" s="1"/>
  <c r="AH79" i="5"/>
  <c r="AI79" i="5" s="1"/>
  <c r="AH80" i="5"/>
  <c r="AI80" i="5" s="1"/>
  <c r="AH81" i="5"/>
  <c r="AI81" i="5" s="1"/>
  <c r="AH82" i="5"/>
  <c r="AI82" i="5" s="1"/>
  <c r="AH83" i="5"/>
  <c r="AI83" i="5" s="1"/>
  <c r="AH84" i="5"/>
  <c r="AI84" i="5" s="1"/>
  <c r="AH85" i="5"/>
  <c r="AI85" i="5" s="1"/>
  <c r="AH86" i="5"/>
  <c r="AI86" i="5" s="1"/>
  <c r="AH87" i="5"/>
  <c r="AI87" i="5" s="1"/>
  <c r="AH88" i="5"/>
  <c r="AI88" i="5" s="1"/>
  <c r="AH89" i="5"/>
  <c r="AI89" i="5" s="1"/>
  <c r="AH90" i="5"/>
  <c r="AI90" i="5" s="1"/>
  <c r="AH91" i="5"/>
  <c r="AI91" i="5" s="1"/>
  <c r="AH92" i="5"/>
  <c r="AI92" i="5" s="1"/>
  <c r="AE32" i="5"/>
  <c r="AF32" i="5" s="1"/>
  <c r="AB312" i="5" l="1"/>
  <c r="AC312" i="5" s="1"/>
  <c r="V312" i="5"/>
  <c r="W312" i="5" s="1"/>
  <c r="S312" i="5"/>
  <c r="T312" i="5" s="1"/>
  <c r="P312" i="5"/>
  <c r="Q312" i="5" s="1"/>
  <c r="M312" i="5"/>
  <c r="N312" i="5" s="1"/>
  <c r="J312" i="5"/>
  <c r="K312" i="5" s="1"/>
  <c r="AB311" i="5" l="1"/>
  <c r="AC311" i="5" s="1"/>
  <c r="V311" i="5"/>
  <c r="W311" i="5" s="1"/>
  <c r="S311" i="5"/>
  <c r="T311" i="5" s="1"/>
  <c r="P311" i="5"/>
  <c r="Q311" i="5" s="1"/>
  <c r="M311" i="5"/>
  <c r="N311" i="5" s="1"/>
  <c r="J311" i="5"/>
  <c r="K311" i="5" s="1"/>
  <c r="AB310" i="5"/>
  <c r="AC310" i="5" s="1"/>
  <c r="V310" i="5"/>
  <c r="W310" i="5" s="1"/>
  <c r="S310" i="5"/>
  <c r="T310" i="5" s="1"/>
  <c r="P310" i="5"/>
  <c r="Q310" i="5" s="1"/>
  <c r="M310" i="5"/>
  <c r="N310" i="5" s="1"/>
  <c r="J310" i="5"/>
  <c r="K310" i="5" s="1"/>
  <c r="AB309" i="5" l="1"/>
  <c r="AC309" i="5" s="1"/>
  <c r="V309" i="5"/>
  <c r="W309" i="5" s="1"/>
  <c r="S309" i="5"/>
  <c r="T309" i="5" s="1"/>
  <c r="P309" i="5"/>
  <c r="Q309" i="5" s="1"/>
  <c r="M309" i="5"/>
  <c r="N309" i="5" s="1"/>
  <c r="J309" i="5"/>
  <c r="K309" i="5" s="1"/>
  <c r="M204" i="5" l="1"/>
  <c r="M203" i="5"/>
  <c r="AE83" i="5" l="1"/>
  <c r="AF83" i="5" s="1"/>
  <c r="S92" i="5" l="1"/>
  <c r="J308" i="5"/>
  <c r="K308" i="5" s="1"/>
  <c r="M308" i="5"/>
  <c r="N308" i="5" s="1"/>
  <c r="V308" i="5"/>
  <c r="W308" i="5" s="1"/>
  <c r="P308" i="5"/>
  <c r="Q308" i="5" s="1"/>
  <c r="S308" i="5"/>
  <c r="T308" i="5" s="1"/>
  <c r="M138" i="5" l="1"/>
  <c r="AQ308" i="5" l="1"/>
  <c r="AR308" i="5" s="1"/>
  <c r="AQ307" i="5"/>
  <c r="AR307" i="5" s="1"/>
  <c r="AQ306" i="5"/>
  <c r="AR306" i="5" s="1"/>
  <c r="AQ305" i="5"/>
  <c r="AR305" i="5" s="1"/>
  <c r="AQ304" i="5"/>
  <c r="AR304" i="5" s="1"/>
  <c r="AQ303" i="5"/>
  <c r="AR303" i="5" s="1"/>
  <c r="AQ302" i="5"/>
  <c r="AR302" i="5" s="1"/>
  <c r="AQ301" i="5"/>
  <c r="AR301" i="5" s="1"/>
  <c r="AQ300" i="5"/>
  <c r="AR300" i="5" s="1"/>
  <c r="AQ299" i="5"/>
  <c r="AR299" i="5" s="1"/>
  <c r="AQ298" i="5"/>
  <c r="AR298" i="5" s="1"/>
  <c r="AQ297" i="5"/>
  <c r="AR297" i="5" s="1"/>
  <c r="AQ296" i="5"/>
  <c r="AR296" i="5" s="1"/>
  <c r="AQ295" i="5"/>
  <c r="AR295" i="5" s="1"/>
  <c r="AQ294" i="5"/>
  <c r="AR294" i="5" s="1"/>
  <c r="AQ293" i="5"/>
  <c r="AR293" i="5" s="1"/>
  <c r="AQ292" i="5"/>
  <c r="AR292" i="5" s="1"/>
  <c r="AQ291" i="5"/>
  <c r="AR291" i="5" s="1"/>
  <c r="AQ290" i="5"/>
  <c r="AR290" i="5" s="1"/>
  <c r="AQ289" i="5"/>
  <c r="AR289" i="5" s="1"/>
  <c r="AQ288" i="5"/>
  <c r="AR288" i="5" s="1"/>
  <c r="AQ287" i="5"/>
  <c r="AR287" i="5" s="1"/>
  <c r="AQ286" i="5"/>
  <c r="AR286" i="5" s="1"/>
  <c r="AQ285" i="5"/>
  <c r="AR285" i="5" s="1"/>
  <c r="AQ284" i="5"/>
  <c r="AR284" i="5" s="1"/>
  <c r="AQ283" i="5"/>
  <c r="AR283" i="5" s="1"/>
  <c r="AQ282" i="5"/>
  <c r="AR282" i="5" s="1"/>
  <c r="AQ281" i="5"/>
  <c r="AR281" i="5" s="1"/>
  <c r="AQ280" i="5"/>
  <c r="AR280" i="5" s="1"/>
  <c r="AQ279" i="5"/>
  <c r="AR279" i="5" s="1"/>
  <c r="AQ278" i="5"/>
  <c r="AR278" i="5" s="1"/>
  <c r="AQ277" i="5"/>
  <c r="AR277" i="5" s="1"/>
  <c r="AQ276" i="5"/>
  <c r="AR276" i="5" s="1"/>
  <c r="AQ275" i="5"/>
  <c r="AR275" i="5" s="1"/>
  <c r="AQ273" i="5"/>
  <c r="AR273" i="5" s="1"/>
  <c r="AQ272" i="5"/>
  <c r="AR272" i="5" s="1"/>
  <c r="AQ271" i="5"/>
  <c r="AR271" i="5" s="1"/>
  <c r="AQ270" i="5"/>
  <c r="AR270" i="5" s="1"/>
  <c r="AQ269" i="5"/>
  <c r="AR269" i="5" s="1"/>
  <c r="AQ268" i="5"/>
  <c r="AR268" i="5" s="1"/>
  <c r="AQ267" i="5"/>
  <c r="AR267" i="5" s="1"/>
  <c r="AQ266" i="5"/>
  <c r="AR266" i="5" s="1"/>
  <c r="AQ265" i="5"/>
  <c r="AR265" i="5" s="1"/>
  <c r="AQ264" i="5"/>
  <c r="AR264" i="5" s="1"/>
  <c r="AQ263" i="5"/>
  <c r="AR263" i="5" s="1"/>
  <c r="AQ262" i="5"/>
  <c r="AR262" i="5" s="1"/>
  <c r="AQ261" i="5"/>
  <c r="AR261" i="5" s="1"/>
  <c r="AQ260" i="5"/>
  <c r="AR260" i="5" s="1"/>
  <c r="AQ259" i="5"/>
  <c r="AR259" i="5" s="1"/>
  <c r="AQ258" i="5"/>
  <c r="AR258" i="5" s="1"/>
  <c r="AQ257" i="5"/>
  <c r="AR257" i="5" s="1"/>
  <c r="AQ256" i="5"/>
  <c r="AR256" i="5" s="1"/>
  <c r="AQ255" i="5"/>
  <c r="AR255" i="5" s="1"/>
  <c r="AQ254" i="5"/>
  <c r="AR254" i="5" s="1"/>
  <c r="AQ253" i="5"/>
  <c r="AR253" i="5" s="1"/>
  <c r="AQ252" i="5"/>
  <c r="AR252" i="5" s="1"/>
  <c r="AQ251" i="5"/>
  <c r="AR251" i="5" s="1"/>
  <c r="AQ250" i="5"/>
  <c r="AR250" i="5" s="1"/>
  <c r="AQ249" i="5"/>
  <c r="AR249" i="5" s="1"/>
  <c r="AQ248" i="5"/>
  <c r="AR248" i="5" s="1"/>
  <c r="AQ247" i="5"/>
  <c r="AR247" i="5" s="1"/>
  <c r="AQ246" i="5"/>
  <c r="AR246" i="5" s="1"/>
  <c r="AQ245" i="5"/>
  <c r="AR245" i="5" s="1"/>
  <c r="AQ244" i="5"/>
  <c r="AR244" i="5" s="1"/>
  <c r="AQ243" i="5"/>
  <c r="AR243" i="5" s="1"/>
  <c r="AQ242" i="5"/>
  <c r="AR242" i="5" s="1"/>
  <c r="AQ241" i="5"/>
  <c r="AR241" i="5" s="1"/>
  <c r="AQ240" i="5"/>
  <c r="AR240" i="5" s="1"/>
  <c r="AQ239" i="5"/>
  <c r="AR239" i="5" s="1"/>
  <c r="AQ238" i="5"/>
  <c r="AR238" i="5" s="1"/>
  <c r="AQ237" i="5"/>
  <c r="AR237" i="5" s="1"/>
  <c r="AQ236" i="5"/>
  <c r="AR236" i="5" s="1"/>
  <c r="AQ235" i="5"/>
  <c r="AR235" i="5" s="1"/>
  <c r="AQ234" i="5"/>
  <c r="AR234" i="5" s="1"/>
  <c r="AQ233" i="5"/>
  <c r="AR233" i="5" s="1"/>
  <c r="AQ232" i="5"/>
  <c r="AR232" i="5" s="1"/>
  <c r="AQ231" i="5"/>
  <c r="AR231" i="5" s="1"/>
  <c r="AQ230" i="5"/>
  <c r="AR230" i="5" s="1"/>
  <c r="AQ229" i="5"/>
  <c r="AR229" i="5" s="1"/>
  <c r="AQ228" i="5"/>
  <c r="AR228" i="5" s="1"/>
  <c r="AQ227" i="5"/>
  <c r="AR227" i="5" s="1"/>
  <c r="AQ226" i="5"/>
  <c r="AR226" i="5" s="1"/>
  <c r="AQ225" i="5"/>
  <c r="AR225" i="5" s="1"/>
  <c r="AQ224" i="5"/>
  <c r="AR224" i="5" s="1"/>
  <c r="AQ223" i="5"/>
  <c r="AR223" i="5" s="1"/>
  <c r="AQ222" i="5"/>
  <c r="AR222" i="5" s="1"/>
  <c r="AQ221" i="5"/>
  <c r="AR221" i="5" s="1"/>
  <c r="AQ220" i="5"/>
  <c r="AR220" i="5" s="1"/>
  <c r="AQ219" i="5"/>
  <c r="AR219" i="5" s="1"/>
  <c r="AQ218" i="5"/>
  <c r="AR218" i="5" s="1"/>
  <c r="AQ217" i="5"/>
  <c r="AR217" i="5" s="1"/>
  <c r="AQ216" i="5"/>
  <c r="AR216" i="5" s="1"/>
  <c r="AQ215" i="5"/>
  <c r="AR215" i="5" s="1"/>
  <c r="AQ214" i="5"/>
  <c r="AR214" i="5" s="1"/>
  <c r="AQ213" i="5"/>
  <c r="AR213" i="5" s="1"/>
  <c r="AQ212" i="5"/>
  <c r="AR212" i="5" s="1"/>
  <c r="AQ211" i="5"/>
  <c r="AR211" i="5" s="1"/>
  <c r="AQ210" i="5"/>
  <c r="AR210" i="5" s="1"/>
  <c r="AQ209" i="5"/>
  <c r="AR209" i="5" s="1"/>
  <c r="AQ208" i="5"/>
  <c r="AR208" i="5" s="1"/>
  <c r="AQ207" i="5"/>
  <c r="AR207" i="5" s="1"/>
  <c r="AQ206" i="5"/>
  <c r="AR206" i="5" s="1"/>
  <c r="AQ205" i="5"/>
  <c r="AR205" i="5" s="1"/>
  <c r="AQ204" i="5"/>
  <c r="AR204" i="5" s="1"/>
  <c r="AQ203" i="5"/>
  <c r="AR203" i="5" s="1"/>
  <c r="AQ202" i="5"/>
  <c r="AR202" i="5" s="1"/>
  <c r="AQ201" i="5"/>
  <c r="AR201" i="5" s="1"/>
  <c r="AQ200" i="5"/>
  <c r="AR200" i="5" s="1"/>
  <c r="AQ199" i="5"/>
  <c r="AR199" i="5" s="1"/>
  <c r="AQ198" i="5"/>
  <c r="AR198" i="5" s="1"/>
  <c r="AQ197" i="5"/>
  <c r="AR197" i="5" s="1"/>
  <c r="AQ196" i="5"/>
  <c r="AR196" i="5" s="1"/>
  <c r="AQ195" i="5"/>
  <c r="AR195" i="5" s="1"/>
  <c r="AQ194" i="5"/>
  <c r="AR194" i="5" s="1"/>
  <c r="AQ193" i="5"/>
  <c r="AR193" i="5" s="1"/>
  <c r="AQ192" i="5"/>
  <c r="AR192" i="5" s="1"/>
  <c r="AQ191" i="5"/>
  <c r="AR191" i="5" s="1"/>
  <c r="AQ190" i="5"/>
  <c r="AR190" i="5" s="1"/>
  <c r="AQ189" i="5"/>
  <c r="AR189" i="5" s="1"/>
  <c r="AQ188" i="5"/>
  <c r="AR188" i="5" s="1"/>
  <c r="AQ187" i="5"/>
  <c r="AR187" i="5" s="1"/>
  <c r="AQ186" i="5"/>
  <c r="AR186" i="5" s="1"/>
  <c r="AQ185" i="5"/>
  <c r="AR185" i="5" s="1"/>
  <c r="AQ184" i="5"/>
  <c r="AR184" i="5" s="1"/>
  <c r="AQ183" i="5"/>
  <c r="AR183" i="5" s="1"/>
  <c r="AQ182" i="5"/>
  <c r="AR182" i="5" s="1"/>
  <c r="AQ181" i="5"/>
  <c r="AR181" i="5" s="1"/>
  <c r="AQ180" i="5"/>
  <c r="AR180" i="5" s="1"/>
  <c r="AQ179" i="5"/>
  <c r="AR179" i="5" s="1"/>
  <c r="AQ178" i="5"/>
  <c r="AR178" i="5" s="1"/>
  <c r="AQ177" i="5"/>
  <c r="AR177" i="5" s="1"/>
  <c r="AQ176" i="5"/>
  <c r="AR176" i="5" s="1"/>
  <c r="AQ175" i="5"/>
  <c r="AR175" i="5" s="1"/>
  <c r="AQ174" i="5"/>
  <c r="AR174" i="5" s="1"/>
  <c r="AQ173" i="5"/>
  <c r="AR173" i="5" s="1"/>
  <c r="AQ172" i="5"/>
  <c r="AR172" i="5" s="1"/>
  <c r="AQ171" i="5"/>
  <c r="AR171" i="5" s="1"/>
  <c r="AQ170" i="5"/>
  <c r="AR170" i="5" s="1"/>
  <c r="AQ169" i="5"/>
  <c r="AR169" i="5" s="1"/>
  <c r="AQ168" i="5"/>
  <c r="AR168" i="5" s="1"/>
  <c r="AQ167" i="5"/>
  <c r="AR167" i="5" s="1"/>
  <c r="AQ166" i="5"/>
  <c r="AR166" i="5" s="1"/>
  <c r="AQ165" i="5"/>
  <c r="AR165" i="5" s="1"/>
  <c r="AQ164" i="5"/>
  <c r="AR164" i="5" s="1"/>
  <c r="AQ163" i="5"/>
  <c r="AR163" i="5" s="1"/>
  <c r="AQ162" i="5"/>
  <c r="AR162" i="5" s="1"/>
  <c r="AQ161" i="5"/>
  <c r="AR161" i="5" s="1"/>
  <c r="AQ160" i="5"/>
  <c r="AR160" i="5" s="1"/>
  <c r="AQ159" i="5"/>
  <c r="AR159" i="5" s="1"/>
  <c r="AQ158" i="5"/>
  <c r="AR158" i="5" s="1"/>
  <c r="AQ157" i="5"/>
  <c r="AR157" i="5" s="1"/>
  <c r="AQ156" i="5"/>
  <c r="AR156" i="5" s="1"/>
  <c r="AQ155" i="5"/>
  <c r="AR155" i="5" s="1"/>
  <c r="AQ154" i="5"/>
  <c r="AR154" i="5" s="1"/>
  <c r="AQ153" i="5"/>
  <c r="AR153" i="5" s="1"/>
  <c r="AQ152" i="5"/>
  <c r="AR152" i="5" s="1"/>
  <c r="AQ151" i="5"/>
  <c r="AR151" i="5" s="1"/>
  <c r="AQ150" i="5"/>
  <c r="AR150" i="5" s="1"/>
  <c r="AQ149" i="5"/>
  <c r="AR149" i="5" s="1"/>
  <c r="AQ148" i="5"/>
  <c r="AR148" i="5" s="1"/>
  <c r="AQ147" i="5"/>
  <c r="AR147" i="5" s="1"/>
  <c r="AQ146" i="5"/>
  <c r="AR146" i="5" s="1"/>
  <c r="AQ145" i="5"/>
  <c r="AR145" i="5" s="1"/>
  <c r="AQ144" i="5"/>
  <c r="AR144" i="5" s="1"/>
  <c r="AQ143" i="5"/>
  <c r="AR143" i="5" s="1"/>
  <c r="AQ142" i="5"/>
  <c r="AR142" i="5" s="1"/>
  <c r="AQ141" i="5"/>
  <c r="AR141" i="5" s="1"/>
  <c r="AQ140" i="5"/>
  <c r="AR140" i="5" s="1"/>
  <c r="AQ139" i="5"/>
  <c r="AR139" i="5" s="1"/>
  <c r="AQ138" i="5"/>
  <c r="AR138" i="5" s="1"/>
  <c r="AQ137" i="5"/>
  <c r="AR137" i="5" s="1"/>
  <c r="AQ136" i="5"/>
  <c r="AR136" i="5" s="1"/>
  <c r="AQ135" i="5"/>
  <c r="AR135" i="5" s="1"/>
  <c r="AQ134" i="5"/>
  <c r="AR134" i="5" s="1"/>
  <c r="AQ133" i="5"/>
  <c r="AR133" i="5" s="1"/>
  <c r="AQ132" i="5"/>
  <c r="AR132" i="5" s="1"/>
  <c r="AQ131" i="5"/>
  <c r="AR131" i="5" s="1"/>
  <c r="AQ130" i="5"/>
  <c r="AR130" i="5" s="1"/>
  <c r="AQ129" i="5"/>
  <c r="AR129" i="5" s="1"/>
  <c r="AQ128" i="5"/>
  <c r="AR128" i="5" s="1"/>
  <c r="AQ127" i="5"/>
  <c r="AR127" i="5" s="1"/>
  <c r="AQ126" i="5"/>
  <c r="AR126" i="5" s="1"/>
  <c r="AQ125" i="5"/>
  <c r="AR125" i="5" s="1"/>
  <c r="AQ124" i="5"/>
  <c r="AR124" i="5" s="1"/>
  <c r="AQ123" i="5"/>
  <c r="AR123" i="5" s="1"/>
  <c r="AQ122" i="5"/>
  <c r="AR122" i="5" s="1"/>
  <c r="AQ121" i="5"/>
  <c r="AR121" i="5" s="1"/>
  <c r="AQ120" i="5"/>
  <c r="AR120" i="5" s="1"/>
  <c r="AQ119" i="5"/>
  <c r="AR119" i="5" s="1"/>
  <c r="AQ118" i="5"/>
  <c r="AR118" i="5" s="1"/>
  <c r="AQ117" i="5"/>
  <c r="AR117" i="5" s="1"/>
  <c r="AQ116" i="5"/>
  <c r="AR116" i="5" s="1"/>
  <c r="AQ115" i="5"/>
  <c r="AR115" i="5" s="1"/>
  <c r="AQ114" i="5"/>
  <c r="AR114" i="5" s="1"/>
  <c r="AQ113" i="5"/>
  <c r="AR113" i="5" s="1"/>
  <c r="AQ112" i="5"/>
  <c r="AR112" i="5" s="1"/>
  <c r="AQ111" i="5"/>
  <c r="AR111" i="5" s="1"/>
  <c r="AQ110" i="5"/>
  <c r="AR110" i="5" s="1"/>
  <c r="AQ109" i="5"/>
  <c r="AR109" i="5" s="1"/>
  <c r="AQ107" i="5"/>
  <c r="AR107" i="5" s="1"/>
  <c r="AQ106" i="5"/>
  <c r="AR106" i="5" s="1"/>
  <c r="AQ105" i="5"/>
  <c r="AR105" i="5" s="1"/>
  <c r="AQ104" i="5"/>
  <c r="AR104" i="5" s="1"/>
  <c r="AQ103" i="5"/>
  <c r="AR103" i="5" s="1"/>
  <c r="AQ102" i="5"/>
  <c r="AR102" i="5" s="1"/>
  <c r="AQ101" i="5"/>
  <c r="AR101" i="5" s="1"/>
  <c r="AQ100" i="5"/>
  <c r="AR100" i="5" s="1"/>
  <c r="AQ99" i="5"/>
  <c r="AR99" i="5" s="1"/>
  <c r="AQ98" i="5"/>
  <c r="AR98" i="5" s="1"/>
  <c r="AQ97" i="5"/>
  <c r="AR97" i="5" s="1"/>
  <c r="AQ96" i="5"/>
  <c r="AR96" i="5" s="1"/>
  <c r="AQ95" i="5"/>
  <c r="AR95" i="5" s="1"/>
  <c r="AQ94" i="5"/>
  <c r="AR94" i="5" s="1"/>
  <c r="AQ93" i="5"/>
  <c r="AR93" i="5" s="1"/>
  <c r="AQ92" i="5"/>
  <c r="AR92" i="5" s="1"/>
  <c r="AQ91" i="5"/>
  <c r="AR91" i="5" s="1"/>
  <c r="AQ90" i="5"/>
  <c r="AR90" i="5" s="1"/>
  <c r="AQ89" i="5"/>
  <c r="AR89" i="5" s="1"/>
  <c r="AQ88" i="5"/>
  <c r="AR88" i="5" s="1"/>
  <c r="AQ87" i="5"/>
  <c r="AR87" i="5" s="1"/>
  <c r="AQ86" i="5"/>
  <c r="AR86" i="5" s="1"/>
  <c r="AQ85" i="5"/>
  <c r="AR85" i="5" s="1"/>
  <c r="AQ84" i="5"/>
  <c r="AR84" i="5" s="1"/>
  <c r="AQ83" i="5"/>
  <c r="AR83" i="5" s="1"/>
  <c r="AQ82" i="5"/>
  <c r="AR82" i="5" s="1"/>
  <c r="AQ81" i="5"/>
  <c r="AR81" i="5" s="1"/>
  <c r="AQ80" i="5"/>
  <c r="AR80" i="5" s="1"/>
  <c r="AQ79" i="5"/>
  <c r="AR79" i="5" s="1"/>
  <c r="AQ78" i="5"/>
  <c r="AR78" i="5" s="1"/>
  <c r="AQ77" i="5"/>
  <c r="AR77" i="5" s="1"/>
  <c r="AQ76" i="5"/>
  <c r="AR76" i="5" s="1"/>
  <c r="AQ75" i="5"/>
  <c r="AR75" i="5" s="1"/>
  <c r="AQ74" i="5"/>
  <c r="AR74" i="5" s="1"/>
  <c r="AQ73" i="5"/>
  <c r="AR73" i="5" s="1"/>
  <c r="AQ72" i="5"/>
  <c r="AR72" i="5" s="1"/>
  <c r="AQ71" i="5"/>
  <c r="AR71" i="5" s="1"/>
  <c r="AQ70" i="5"/>
  <c r="AR70" i="5" s="1"/>
  <c r="AQ69" i="5"/>
  <c r="AR69" i="5" s="1"/>
  <c r="AQ68" i="5"/>
  <c r="AR68" i="5" s="1"/>
  <c r="AQ67" i="5"/>
  <c r="AR67" i="5" s="1"/>
  <c r="AQ66" i="5"/>
  <c r="AR66" i="5" s="1"/>
  <c r="AQ65" i="5"/>
  <c r="AR65" i="5" s="1"/>
  <c r="AQ64" i="5"/>
  <c r="AR64" i="5" s="1"/>
  <c r="AQ63" i="5"/>
  <c r="AR63" i="5" s="1"/>
  <c r="AQ62" i="5"/>
  <c r="AR62" i="5" s="1"/>
  <c r="AQ61" i="5"/>
  <c r="AR61" i="5" s="1"/>
  <c r="AQ60" i="5"/>
  <c r="AR60" i="5" s="1"/>
  <c r="AQ59" i="5"/>
  <c r="AR59" i="5" s="1"/>
  <c r="AQ58" i="5"/>
  <c r="AR58" i="5" s="1"/>
  <c r="AQ57" i="5"/>
  <c r="AR57" i="5" s="1"/>
  <c r="AQ56" i="5"/>
  <c r="AR56" i="5" s="1"/>
  <c r="AQ55" i="5"/>
  <c r="AR55" i="5" s="1"/>
  <c r="AQ54" i="5"/>
  <c r="AR54" i="5" s="1"/>
  <c r="AQ53" i="5"/>
  <c r="AR53" i="5" s="1"/>
  <c r="AQ52" i="5"/>
  <c r="AR52" i="5" s="1"/>
  <c r="AQ51" i="5"/>
  <c r="AR51" i="5" s="1"/>
  <c r="AQ50" i="5"/>
  <c r="AR50" i="5" s="1"/>
  <c r="AQ49" i="5"/>
  <c r="AR49" i="5" s="1"/>
  <c r="AQ48" i="5"/>
  <c r="AR48" i="5" s="1"/>
  <c r="AQ47" i="5"/>
  <c r="AR47" i="5" s="1"/>
  <c r="AQ46" i="5"/>
  <c r="AR46" i="5" s="1"/>
  <c r="AQ45" i="5"/>
  <c r="AR45" i="5" s="1"/>
  <c r="AQ44" i="5"/>
  <c r="AR44" i="5" s="1"/>
  <c r="AQ43" i="5"/>
  <c r="AR43" i="5" s="1"/>
  <c r="AQ42" i="5"/>
  <c r="AR42" i="5" s="1"/>
  <c r="AQ41" i="5"/>
  <c r="AR41" i="5" s="1"/>
  <c r="AQ40" i="5"/>
  <c r="AR40" i="5" s="1"/>
  <c r="AQ39" i="5"/>
  <c r="AR39" i="5" s="1"/>
  <c r="AQ38" i="5"/>
  <c r="AR38" i="5" s="1"/>
  <c r="AQ37" i="5"/>
  <c r="AR37" i="5" s="1"/>
  <c r="AQ36" i="5"/>
  <c r="AR36" i="5" s="1"/>
  <c r="AQ35" i="5"/>
  <c r="AR35" i="5" s="1"/>
  <c r="AQ34" i="5"/>
  <c r="AR34" i="5" s="1"/>
  <c r="AQ32" i="5"/>
  <c r="AR32" i="5" s="1"/>
  <c r="AQ31" i="5"/>
  <c r="AR31" i="5" s="1"/>
  <c r="AQ30" i="5"/>
  <c r="AR30" i="5" s="1"/>
  <c r="AQ29" i="5"/>
  <c r="AR29" i="5" s="1"/>
  <c r="AQ28" i="5"/>
  <c r="AR28" i="5" s="1"/>
  <c r="AQ27" i="5"/>
  <c r="AR27" i="5" s="1"/>
  <c r="AQ26" i="5"/>
  <c r="AR26" i="5" s="1"/>
  <c r="AQ25" i="5"/>
  <c r="AR25" i="5" s="1"/>
  <c r="AQ24" i="5"/>
  <c r="AR24" i="5" s="1"/>
  <c r="AQ23" i="5"/>
  <c r="AR23" i="5" s="1"/>
  <c r="AQ22" i="5"/>
  <c r="AR22" i="5" s="1"/>
  <c r="AQ21" i="5"/>
  <c r="AR21" i="5" s="1"/>
  <c r="AQ20" i="5"/>
  <c r="AR20" i="5" s="1"/>
  <c r="AQ19" i="5"/>
  <c r="AR19" i="5" s="1"/>
  <c r="AQ18" i="5"/>
  <c r="AR18" i="5" s="1"/>
  <c r="AQ17" i="5"/>
  <c r="AR17" i="5" s="1"/>
  <c r="AQ16" i="5"/>
  <c r="AR16" i="5" s="1"/>
  <c r="AQ15" i="5"/>
  <c r="AR15" i="5" s="1"/>
  <c r="AQ14" i="5"/>
  <c r="AR14" i="5" s="1"/>
  <c r="AQ13" i="5"/>
  <c r="AR13" i="5" s="1"/>
  <c r="AQ12" i="5"/>
  <c r="AR12" i="5" s="1"/>
  <c r="AQ11" i="5"/>
  <c r="AR11" i="5" s="1"/>
  <c r="AQ10" i="5"/>
  <c r="AR10" i="5" s="1"/>
  <c r="AQ9" i="5"/>
  <c r="AR9" i="5" s="1"/>
  <c r="AQ8" i="5"/>
  <c r="AR8" i="5" s="1"/>
  <c r="AQ7" i="5"/>
  <c r="AR7" i="5" s="1"/>
  <c r="AQ6" i="5"/>
  <c r="AR6" i="5" s="1"/>
  <c r="AQ5" i="5"/>
  <c r="AR5" i="5" s="1"/>
  <c r="AQ4" i="5"/>
  <c r="AR4" i="5" s="1"/>
  <c r="AQ3" i="5"/>
  <c r="AR3" i="5" s="1"/>
  <c r="AQ274" i="5"/>
  <c r="AR274" i="5" s="1"/>
  <c r="V307" i="5" l="1"/>
  <c r="W307" i="5" s="1"/>
  <c r="S307" i="5"/>
  <c r="T307" i="5" s="1"/>
  <c r="P307" i="5"/>
  <c r="Q307" i="5" s="1"/>
  <c r="M307" i="5"/>
  <c r="N307" i="5" s="1"/>
  <c r="J307" i="5"/>
  <c r="K307" i="5" s="1"/>
  <c r="J306" i="5"/>
  <c r="K306" i="5" s="1"/>
  <c r="V306" i="5"/>
  <c r="W306" i="5" s="1"/>
  <c r="S306" i="5"/>
  <c r="T306" i="5" s="1"/>
  <c r="P306" i="5"/>
  <c r="Q306" i="5" s="1"/>
  <c r="M306" i="5"/>
  <c r="N306" i="5" s="1"/>
  <c r="AB4" i="5" l="1"/>
  <c r="AC4" i="5" s="1"/>
  <c r="AB5" i="5"/>
  <c r="AC5" i="5" s="1"/>
  <c r="AB6" i="5"/>
  <c r="AC6" i="5" s="1"/>
  <c r="AB7" i="5"/>
  <c r="AC7" i="5" s="1"/>
  <c r="AB8" i="5"/>
  <c r="AC8" i="5" s="1"/>
  <c r="AB9" i="5"/>
  <c r="AC9" i="5" s="1"/>
  <c r="AB10" i="5"/>
  <c r="AC10" i="5" s="1"/>
  <c r="AB11" i="5"/>
  <c r="AC11" i="5" s="1"/>
  <c r="AB12" i="5"/>
  <c r="AC12" i="5" s="1"/>
  <c r="AB13" i="5"/>
  <c r="AC13" i="5" s="1"/>
  <c r="AB14" i="5"/>
  <c r="AC14" i="5" s="1"/>
  <c r="AB15" i="5"/>
  <c r="AC15" i="5" s="1"/>
  <c r="AB16" i="5"/>
  <c r="AC16" i="5" s="1"/>
  <c r="AB17" i="5"/>
  <c r="AC17" i="5" s="1"/>
  <c r="AB18" i="5"/>
  <c r="AC18" i="5" s="1"/>
  <c r="AB19" i="5"/>
  <c r="AC19" i="5" s="1"/>
  <c r="AB20" i="5"/>
  <c r="AC20" i="5" s="1"/>
  <c r="AB21" i="5"/>
  <c r="AC21" i="5" s="1"/>
  <c r="AB22" i="5"/>
  <c r="AC22" i="5" s="1"/>
  <c r="AB23" i="5"/>
  <c r="AC23" i="5" s="1"/>
  <c r="AB24" i="5"/>
  <c r="AC24" i="5" s="1"/>
  <c r="AB25" i="5"/>
  <c r="AC25" i="5" s="1"/>
  <c r="AB26" i="5"/>
  <c r="AC26" i="5" s="1"/>
  <c r="AB27" i="5"/>
  <c r="AC27" i="5" s="1"/>
  <c r="AB28" i="5"/>
  <c r="AC28" i="5" s="1"/>
  <c r="AB29" i="5"/>
  <c r="AC29" i="5" s="1"/>
  <c r="AB30" i="5"/>
  <c r="AC30" i="5" s="1"/>
  <c r="AB31" i="5"/>
  <c r="AC31" i="5" s="1"/>
  <c r="AB32" i="5"/>
  <c r="AC32" i="5" s="1"/>
  <c r="AB34" i="5"/>
  <c r="AC34" i="5" s="1"/>
  <c r="AB35" i="5"/>
  <c r="AC35" i="5" s="1"/>
  <c r="AB36" i="5"/>
  <c r="AC36" i="5" s="1"/>
  <c r="AB37" i="5"/>
  <c r="AC37" i="5" s="1"/>
  <c r="AB38" i="5"/>
  <c r="AC38" i="5" s="1"/>
  <c r="AB39" i="5"/>
  <c r="AC39" i="5" s="1"/>
  <c r="AB40" i="5"/>
  <c r="AC40" i="5" s="1"/>
  <c r="AB41" i="5"/>
  <c r="AC41" i="5" s="1"/>
  <c r="AB42" i="5"/>
  <c r="AC42" i="5" s="1"/>
  <c r="AB43" i="5"/>
  <c r="AC43" i="5" s="1"/>
  <c r="AB44" i="5"/>
  <c r="AC44" i="5" s="1"/>
  <c r="AB45" i="5"/>
  <c r="AC45" i="5" s="1"/>
  <c r="AB46" i="5"/>
  <c r="AC46" i="5" s="1"/>
  <c r="AB47" i="5"/>
  <c r="AC47" i="5" s="1"/>
  <c r="AB48" i="5"/>
  <c r="AC48" i="5" s="1"/>
  <c r="AB49" i="5"/>
  <c r="AC49" i="5" s="1"/>
  <c r="AB50" i="5"/>
  <c r="AC50" i="5" s="1"/>
  <c r="AB51" i="5"/>
  <c r="AC51" i="5" s="1"/>
  <c r="AB52" i="5"/>
  <c r="AC52" i="5" s="1"/>
  <c r="AB53" i="5"/>
  <c r="AC53" i="5" s="1"/>
  <c r="AB54" i="5"/>
  <c r="AC54" i="5" s="1"/>
  <c r="AB55" i="5"/>
  <c r="AC55" i="5" s="1"/>
  <c r="AB56" i="5"/>
  <c r="AC56" i="5" s="1"/>
  <c r="AB57" i="5"/>
  <c r="AC57" i="5" s="1"/>
  <c r="AB58" i="5"/>
  <c r="AC58" i="5" s="1"/>
  <c r="AB59" i="5"/>
  <c r="AC59" i="5" s="1"/>
  <c r="AB60" i="5"/>
  <c r="AC60" i="5" s="1"/>
  <c r="AB61" i="5"/>
  <c r="AC61" i="5" s="1"/>
  <c r="AB62" i="5"/>
  <c r="AC62" i="5" s="1"/>
  <c r="AB63" i="5"/>
  <c r="AC63" i="5" s="1"/>
  <c r="AB64" i="5"/>
  <c r="AC64" i="5" s="1"/>
  <c r="AB65" i="5"/>
  <c r="AC65" i="5" s="1"/>
  <c r="AB66" i="5"/>
  <c r="AC66" i="5" s="1"/>
  <c r="AB67" i="5"/>
  <c r="AC67" i="5" s="1"/>
  <c r="AB68" i="5"/>
  <c r="AC68" i="5" s="1"/>
  <c r="AB69" i="5"/>
  <c r="AC69" i="5" s="1"/>
  <c r="AB70" i="5"/>
  <c r="AC70" i="5" s="1"/>
  <c r="AB71" i="5"/>
  <c r="AC71" i="5" s="1"/>
  <c r="AB72" i="5"/>
  <c r="AC72" i="5" s="1"/>
  <c r="AB73" i="5"/>
  <c r="AC73" i="5" s="1"/>
  <c r="AB74" i="5"/>
  <c r="AC74" i="5" s="1"/>
  <c r="AB75" i="5"/>
  <c r="AC75" i="5" s="1"/>
  <c r="AB76" i="5"/>
  <c r="AC76" i="5" s="1"/>
  <c r="AB77" i="5"/>
  <c r="AC77" i="5" s="1"/>
  <c r="AB78" i="5"/>
  <c r="AC78" i="5" s="1"/>
  <c r="AB79" i="5"/>
  <c r="AC79" i="5" s="1"/>
  <c r="AB80" i="5"/>
  <c r="AC80" i="5" s="1"/>
  <c r="AB81" i="5"/>
  <c r="AC81" i="5" s="1"/>
  <c r="AB82" i="5"/>
  <c r="AC82" i="5" s="1"/>
  <c r="AB83" i="5"/>
  <c r="AC83" i="5" s="1"/>
  <c r="AB84" i="5"/>
  <c r="AC84" i="5" s="1"/>
  <c r="AB85" i="5"/>
  <c r="AC85" i="5" s="1"/>
  <c r="AB86" i="5"/>
  <c r="AC86" i="5" s="1"/>
  <c r="AB87" i="5"/>
  <c r="AC87" i="5" s="1"/>
  <c r="AB88" i="5"/>
  <c r="AC88" i="5" s="1"/>
  <c r="AB89" i="5"/>
  <c r="AC89" i="5" s="1"/>
  <c r="AB90" i="5"/>
  <c r="AC90" i="5" s="1"/>
  <c r="AB91" i="5"/>
  <c r="AC91" i="5" s="1"/>
  <c r="AB92" i="5"/>
  <c r="AC92" i="5" s="1"/>
  <c r="AB93" i="5"/>
  <c r="AC93" i="5" s="1"/>
  <c r="AB94" i="5"/>
  <c r="AC94" i="5" s="1"/>
  <c r="AB95" i="5"/>
  <c r="AC95" i="5" s="1"/>
  <c r="AB96" i="5"/>
  <c r="AC96" i="5" s="1"/>
  <c r="AB97" i="5"/>
  <c r="AC97" i="5" s="1"/>
  <c r="AB98" i="5"/>
  <c r="AC98" i="5" s="1"/>
  <c r="AB99" i="5"/>
  <c r="AC99" i="5" s="1"/>
  <c r="AB100" i="5"/>
  <c r="AC100" i="5" s="1"/>
  <c r="AB101" i="5"/>
  <c r="AC101" i="5" s="1"/>
  <c r="AB102" i="5"/>
  <c r="AC102" i="5" s="1"/>
  <c r="AB103" i="5"/>
  <c r="AC103" i="5" s="1"/>
  <c r="AB104" i="5"/>
  <c r="AC104" i="5" s="1"/>
  <c r="AB105" i="5"/>
  <c r="AC105" i="5" s="1"/>
  <c r="AB106" i="5"/>
  <c r="AC106" i="5" s="1"/>
  <c r="AB107" i="5"/>
  <c r="AC107" i="5" s="1"/>
  <c r="AB109" i="5"/>
  <c r="AC109" i="5" s="1"/>
  <c r="AB110" i="5"/>
  <c r="AC110" i="5" s="1"/>
  <c r="AB111" i="5"/>
  <c r="AC111" i="5" s="1"/>
  <c r="AB112" i="5"/>
  <c r="AC112" i="5" s="1"/>
  <c r="AB113" i="5"/>
  <c r="AC113" i="5" s="1"/>
  <c r="AB114" i="5"/>
  <c r="AC114" i="5" s="1"/>
  <c r="AB115" i="5"/>
  <c r="AC115" i="5" s="1"/>
  <c r="AB116" i="5"/>
  <c r="AC116" i="5" s="1"/>
  <c r="AB117" i="5"/>
  <c r="AC117" i="5" s="1"/>
  <c r="AB118" i="5"/>
  <c r="AC118" i="5" s="1"/>
  <c r="AB119" i="5"/>
  <c r="AC119" i="5" s="1"/>
  <c r="AB120" i="5"/>
  <c r="AC120" i="5" s="1"/>
  <c r="AB121" i="5"/>
  <c r="AC121" i="5" s="1"/>
  <c r="AB122" i="5"/>
  <c r="AC122" i="5" s="1"/>
  <c r="AB123" i="5"/>
  <c r="AC123" i="5" s="1"/>
  <c r="AB124" i="5"/>
  <c r="AC124" i="5" s="1"/>
  <c r="AB125" i="5"/>
  <c r="AC125" i="5" s="1"/>
  <c r="AB126" i="5"/>
  <c r="AC126" i="5" s="1"/>
  <c r="AB127" i="5"/>
  <c r="AC127" i="5" s="1"/>
  <c r="AB128" i="5"/>
  <c r="AC128" i="5" s="1"/>
  <c r="AB129" i="5"/>
  <c r="AC129" i="5" s="1"/>
  <c r="AB130" i="5"/>
  <c r="AC130" i="5" s="1"/>
  <c r="AB131" i="5"/>
  <c r="AC131" i="5" s="1"/>
  <c r="AB132" i="5"/>
  <c r="AC132" i="5" s="1"/>
  <c r="AB133" i="5"/>
  <c r="AC133" i="5" s="1"/>
  <c r="AB134" i="5"/>
  <c r="AC134" i="5" s="1"/>
  <c r="AB135" i="5"/>
  <c r="AC135" i="5" s="1"/>
  <c r="AB136" i="5"/>
  <c r="AC136" i="5" s="1"/>
  <c r="AB137" i="5"/>
  <c r="AC137" i="5" s="1"/>
  <c r="AB138" i="5"/>
  <c r="AC138" i="5" s="1"/>
  <c r="AB139" i="5"/>
  <c r="AC139" i="5" s="1"/>
  <c r="AB140" i="5"/>
  <c r="AC140" i="5" s="1"/>
  <c r="AB141" i="5"/>
  <c r="AC141" i="5" s="1"/>
  <c r="AB142" i="5"/>
  <c r="AC142" i="5" s="1"/>
  <c r="AB143" i="5"/>
  <c r="AC143" i="5" s="1"/>
  <c r="AB144" i="5"/>
  <c r="AC144" i="5" s="1"/>
  <c r="AB145" i="5"/>
  <c r="AC145" i="5" s="1"/>
  <c r="AB146" i="5"/>
  <c r="AC146" i="5" s="1"/>
  <c r="AB147" i="5"/>
  <c r="AC147" i="5" s="1"/>
  <c r="AB148" i="5"/>
  <c r="AC148" i="5" s="1"/>
  <c r="AB149" i="5"/>
  <c r="AC149" i="5" s="1"/>
  <c r="AB150" i="5"/>
  <c r="AC150" i="5" s="1"/>
  <c r="AB151" i="5"/>
  <c r="AC151" i="5" s="1"/>
  <c r="AB152" i="5"/>
  <c r="AC152" i="5" s="1"/>
  <c r="AB153" i="5"/>
  <c r="AC153" i="5" s="1"/>
  <c r="AB154" i="5"/>
  <c r="AC154" i="5" s="1"/>
  <c r="AB155" i="5"/>
  <c r="AC155" i="5" s="1"/>
  <c r="AB156" i="5"/>
  <c r="AC156" i="5" s="1"/>
  <c r="AB157" i="5"/>
  <c r="AC157" i="5" s="1"/>
  <c r="AB158" i="5"/>
  <c r="AC158" i="5" s="1"/>
  <c r="AB159" i="5"/>
  <c r="AC159" i="5" s="1"/>
  <c r="AB160" i="5"/>
  <c r="AC160" i="5" s="1"/>
  <c r="AB161" i="5"/>
  <c r="AC161" i="5" s="1"/>
  <c r="AB162" i="5"/>
  <c r="AC162" i="5" s="1"/>
  <c r="AB163" i="5"/>
  <c r="AC163" i="5" s="1"/>
  <c r="AB164" i="5"/>
  <c r="AC164" i="5" s="1"/>
  <c r="AB165" i="5"/>
  <c r="AC165" i="5" s="1"/>
  <c r="AB166" i="5"/>
  <c r="AC166" i="5" s="1"/>
  <c r="AB167" i="5"/>
  <c r="AC167" i="5" s="1"/>
  <c r="AB168" i="5"/>
  <c r="AC168" i="5" s="1"/>
  <c r="AB169" i="5"/>
  <c r="AC169" i="5" s="1"/>
  <c r="AB170" i="5"/>
  <c r="AC170" i="5" s="1"/>
  <c r="AB171" i="5"/>
  <c r="AC171" i="5" s="1"/>
  <c r="AB172" i="5"/>
  <c r="AC172" i="5" s="1"/>
  <c r="AB173" i="5"/>
  <c r="AC173" i="5" s="1"/>
  <c r="AB174" i="5"/>
  <c r="AC174" i="5" s="1"/>
  <c r="AB175" i="5"/>
  <c r="AC175" i="5" s="1"/>
  <c r="AB176" i="5"/>
  <c r="AC176" i="5" s="1"/>
  <c r="AB177" i="5"/>
  <c r="AC177" i="5" s="1"/>
  <c r="AB178" i="5"/>
  <c r="AC178" i="5" s="1"/>
  <c r="AB179" i="5"/>
  <c r="AC179" i="5" s="1"/>
  <c r="AB180" i="5"/>
  <c r="AC180" i="5" s="1"/>
  <c r="AB181" i="5"/>
  <c r="AC181" i="5" s="1"/>
  <c r="AB182" i="5"/>
  <c r="AC182" i="5" s="1"/>
  <c r="AB183" i="5"/>
  <c r="AC183" i="5" s="1"/>
  <c r="AB184" i="5"/>
  <c r="AC184" i="5" s="1"/>
  <c r="AB185" i="5"/>
  <c r="AC185" i="5" s="1"/>
  <c r="AB186" i="5"/>
  <c r="AC186" i="5" s="1"/>
  <c r="AB187" i="5"/>
  <c r="AC187" i="5" s="1"/>
  <c r="AB188" i="5"/>
  <c r="AC188" i="5" s="1"/>
  <c r="AB189" i="5"/>
  <c r="AC189" i="5" s="1"/>
  <c r="AB190" i="5"/>
  <c r="AC190" i="5" s="1"/>
  <c r="AB191" i="5"/>
  <c r="AC191" i="5" s="1"/>
  <c r="AB192" i="5"/>
  <c r="AC192" i="5" s="1"/>
  <c r="AB193" i="5"/>
  <c r="AC193" i="5" s="1"/>
  <c r="AB194" i="5"/>
  <c r="AC194" i="5" s="1"/>
  <c r="AB195" i="5"/>
  <c r="AC195" i="5" s="1"/>
  <c r="AB196" i="5"/>
  <c r="AC196" i="5" s="1"/>
  <c r="AB197" i="5"/>
  <c r="AC197" i="5" s="1"/>
  <c r="AB198" i="5"/>
  <c r="AC198" i="5" s="1"/>
  <c r="AB199" i="5"/>
  <c r="AC199" i="5" s="1"/>
  <c r="AB200" i="5"/>
  <c r="AC200" i="5" s="1"/>
  <c r="AB201" i="5"/>
  <c r="AC201" i="5" s="1"/>
  <c r="AB202" i="5"/>
  <c r="AC202" i="5" s="1"/>
  <c r="AB203" i="5"/>
  <c r="AC203" i="5" s="1"/>
  <c r="AB204" i="5"/>
  <c r="AC204" i="5" s="1"/>
  <c r="AB205" i="5"/>
  <c r="AC205" i="5" s="1"/>
  <c r="AB206" i="5"/>
  <c r="AC206" i="5" s="1"/>
  <c r="AB207" i="5"/>
  <c r="AC207" i="5" s="1"/>
  <c r="AB208" i="5"/>
  <c r="AC208" i="5" s="1"/>
  <c r="AB209" i="5"/>
  <c r="AC209" i="5" s="1"/>
  <c r="AB210" i="5"/>
  <c r="AC210" i="5" s="1"/>
  <c r="AB211" i="5"/>
  <c r="AC211" i="5" s="1"/>
  <c r="AB212" i="5"/>
  <c r="AC212" i="5" s="1"/>
  <c r="AB213" i="5"/>
  <c r="AC213" i="5" s="1"/>
  <c r="AB214" i="5"/>
  <c r="AC214" i="5" s="1"/>
  <c r="AB215" i="5"/>
  <c r="AC215" i="5" s="1"/>
  <c r="AB216" i="5"/>
  <c r="AC216" i="5" s="1"/>
  <c r="AB217" i="5"/>
  <c r="AC217" i="5" s="1"/>
  <c r="AB218" i="5"/>
  <c r="AC218" i="5" s="1"/>
  <c r="AB219" i="5"/>
  <c r="AC219" i="5" s="1"/>
  <c r="AB220" i="5"/>
  <c r="AC220" i="5" s="1"/>
  <c r="AB221" i="5"/>
  <c r="AC221" i="5" s="1"/>
  <c r="AB222" i="5"/>
  <c r="AC222" i="5" s="1"/>
  <c r="AB223" i="5"/>
  <c r="AC223" i="5" s="1"/>
  <c r="AB224" i="5"/>
  <c r="AC224" i="5" s="1"/>
  <c r="AB225" i="5"/>
  <c r="AC225" i="5" s="1"/>
  <c r="AB226" i="5"/>
  <c r="AC226" i="5" s="1"/>
  <c r="AB227" i="5"/>
  <c r="AC227" i="5" s="1"/>
  <c r="AB228" i="5"/>
  <c r="AC228" i="5" s="1"/>
  <c r="AB229" i="5"/>
  <c r="AC229" i="5" s="1"/>
  <c r="AB230" i="5"/>
  <c r="AC230" i="5" s="1"/>
  <c r="AB231" i="5"/>
  <c r="AC231" i="5" s="1"/>
  <c r="AB232" i="5"/>
  <c r="AC232" i="5" s="1"/>
  <c r="AB233" i="5"/>
  <c r="AC233" i="5" s="1"/>
  <c r="AB234" i="5"/>
  <c r="AC234" i="5" s="1"/>
  <c r="AB235" i="5"/>
  <c r="AC235" i="5" s="1"/>
  <c r="AB236" i="5"/>
  <c r="AC236" i="5" s="1"/>
  <c r="AB237" i="5"/>
  <c r="AC237" i="5" s="1"/>
  <c r="AB238" i="5"/>
  <c r="AC238" i="5" s="1"/>
  <c r="AB239" i="5"/>
  <c r="AC239" i="5" s="1"/>
  <c r="AB240" i="5"/>
  <c r="AC240" i="5" s="1"/>
  <c r="AB241" i="5"/>
  <c r="AC241" i="5" s="1"/>
  <c r="AB242" i="5"/>
  <c r="AC242" i="5" s="1"/>
  <c r="AB243" i="5"/>
  <c r="AC243" i="5" s="1"/>
  <c r="AB244" i="5"/>
  <c r="AC244" i="5" s="1"/>
  <c r="AB245" i="5"/>
  <c r="AC245" i="5" s="1"/>
  <c r="AB246" i="5"/>
  <c r="AC246" i="5" s="1"/>
  <c r="AB247" i="5"/>
  <c r="AC247" i="5" s="1"/>
  <c r="AB248" i="5"/>
  <c r="AC248" i="5" s="1"/>
  <c r="AB249" i="5"/>
  <c r="AC249" i="5" s="1"/>
  <c r="AB250" i="5"/>
  <c r="AC250" i="5" s="1"/>
  <c r="AB251" i="5"/>
  <c r="AC251" i="5" s="1"/>
  <c r="AB252" i="5"/>
  <c r="AC252" i="5" s="1"/>
  <c r="AB253" i="5"/>
  <c r="AC253" i="5" s="1"/>
  <c r="AB254" i="5"/>
  <c r="AC254" i="5" s="1"/>
  <c r="AB255" i="5"/>
  <c r="AC255" i="5" s="1"/>
  <c r="AB256" i="5"/>
  <c r="AC256" i="5" s="1"/>
  <c r="AB257" i="5"/>
  <c r="AC257" i="5" s="1"/>
  <c r="AB258" i="5"/>
  <c r="AC258" i="5" s="1"/>
  <c r="AB259" i="5"/>
  <c r="AC259" i="5" s="1"/>
  <c r="AB260" i="5"/>
  <c r="AC260" i="5" s="1"/>
  <c r="AB261" i="5"/>
  <c r="AC261" i="5" s="1"/>
  <c r="AB262" i="5"/>
  <c r="AC262" i="5" s="1"/>
  <c r="AB263" i="5"/>
  <c r="AC263" i="5" s="1"/>
  <c r="AB264" i="5"/>
  <c r="AC264" i="5" s="1"/>
  <c r="AB265" i="5"/>
  <c r="AC265" i="5" s="1"/>
  <c r="AB266" i="5"/>
  <c r="AC266" i="5" s="1"/>
  <c r="AB267" i="5"/>
  <c r="AC267" i="5" s="1"/>
  <c r="AB268" i="5"/>
  <c r="AC268" i="5" s="1"/>
  <c r="AB269" i="5"/>
  <c r="AC269" i="5" s="1"/>
  <c r="AB270" i="5"/>
  <c r="AC270" i="5" s="1"/>
  <c r="AB271" i="5"/>
  <c r="AC271" i="5" s="1"/>
  <c r="AB272" i="5"/>
  <c r="AC272" i="5" s="1"/>
  <c r="AB273" i="5"/>
  <c r="AC273" i="5" s="1"/>
  <c r="AB274" i="5"/>
  <c r="AC274" i="5" s="1"/>
  <c r="AB275" i="5"/>
  <c r="AC275" i="5" s="1"/>
  <c r="AB276" i="5"/>
  <c r="AC276" i="5" s="1"/>
  <c r="AB277" i="5"/>
  <c r="AC277" i="5" s="1"/>
  <c r="AB278" i="5"/>
  <c r="AC278" i="5" s="1"/>
  <c r="AB279" i="5"/>
  <c r="AC279" i="5" s="1"/>
  <c r="AB280" i="5"/>
  <c r="AC280" i="5" s="1"/>
  <c r="AB281" i="5"/>
  <c r="AC281" i="5" s="1"/>
  <c r="AB282" i="5"/>
  <c r="AC282" i="5" s="1"/>
  <c r="AB283" i="5"/>
  <c r="AC283" i="5" s="1"/>
  <c r="AB284" i="5"/>
  <c r="AC284" i="5" s="1"/>
  <c r="AB285" i="5"/>
  <c r="AC285" i="5" s="1"/>
  <c r="AB286" i="5"/>
  <c r="AC286" i="5" s="1"/>
  <c r="AB287" i="5"/>
  <c r="AC287" i="5" s="1"/>
  <c r="AB288" i="5"/>
  <c r="AC288" i="5" s="1"/>
  <c r="AB289" i="5"/>
  <c r="AC289" i="5" s="1"/>
  <c r="AB290" i="5"/>
  <c r="AC290" i="5" s="1"/>
  <c r="AB291" i="5"/>
  <c r="AC291" i="5" s="1"/>
  <c r="AB292" i="5"/>
  <c r="AC292" i="5" s="1"/>
  <c r="AB293" i="5"/>
  <c r="AC293" i="5" s="1"/>
  <c r="AB294" i="5"/>
  <c r="AC294" i="5" s="1"/>
  <c r="AB295" i="5"/>
  <c r="AC295" i="5" s="1"/>
  <c r="AB296" i="5"/>
  <c r="AC296" i="5" s="1"/>
  <c r="AB297" i="5"/>
  <c r="AC297" i="5" s="1"/>
  <c r="AB298" i="5"/>
  <c r="AC298" i="5" s="1"/>
  <c r="AB299" i="5"/>
  <c r="AC299" i="5" s="1"/>
  <c r="AB300" i="5"/>
  <c r="AC300" i="5" s="1"/>
  <c r="AB301" i="5"/>
  <c r="AC301" i="5" s="1"/>
  <c r="AB302" i="5"/>
  <c r="AC302" i="5" s="1"/>
  <c r="AB303" i="5"/>
  <c r="AC303" i="5" s="1"/>
  <c r="AB304" i="5"/>
  <c r="AC304" i="5" s="1"/>
  <c r="AB305" i="5"/>
  <c r="AC305" i="5" s="1"/>
  <c r="AB306" i="5"/>
  <c r="AC306" i="5" s="1"/>
  <c r="AB307" i="5"/>
  <c r="AC307" i="5" s="1"/>
  <c r="AB308" i="5"/>
  <c r="AC308" i="5" s="1"/>
  <c r="AB3" i="5"/>
  <c r="AC3" i="5" s="1"/>
  <c r="V190" i="5" l="1"/>
  <c r="W190" i="5" s="1"/>
  <c r="S190" i="5"/>
  <c r="T190" i="5" s="1"/>
  <c r="P190" i="5"/>
  <c r="Q190" i="5" s="1"/>
  <c r="M190" i="5"/>
  <c r="N190" i="5" s="1"/>
  <c r="J190" i="5"/>
  <c r="K190" i="5" s="1"/>
  <c r="J305" i="5" l="1"/>
  <c r="K305" i="5" s="1"/>
  <c r="M305" i="5"/>
  <c r="N305" i="5" s="1"/>
  <c r="P305" i="5"/>
  <c r="Q305" i="5" s="1"/>
  <c r="V305" i="5"/>
  <c r="W305" i="5" s="1"/>
  <c r="S305" i="5"/>
  <c r="T305" i="5" s="1"/>
  <c r="M79" i="5" l="1"/>
  <c r="J304" i="5" l="1"/>
  <c r="K304" i="5" s="1"/>
  <c r="M304" i="5"/>
  <c r="N304" i="5" s="1"/>
  <c r="V304" i="5"/>
  <c r="W304" i="5" s="1"/>
  <c r="P304" i="5"/>
  <c r="Q304" i="5" s="1"/>
  <c r="S304" i="5"/>
  <c r="T304" i="5" s="1"/>
  <c r="J303" i="5" l="1"/>
  <c r="K303" i="5" s="1"/>
  <c r="M303" i="5"/>
  <c r="N303" i="5" s="1"/>
  <c r="P303" i="5"/>
  <c r="Q303" i="5" s="1"/>
  <c r="V303" i="5"/>
  <c r="W303" i="5" s="1"/>
  <c r="S303" i="5"/>
  <c r="T303" i="5" s="1"/>
  <c r="V302" i="5" l="1"/>
  <c r="W302" i="5" s="1"/>
  <c r="S302" i="5"/>
  <c r="T302" i="5" s="1"/>
  <c r="P302" i="5"/>
  <c r="Q302" i="5" s="1"/>
  <c r="M302" i="5"/>
  <c r="N302" i="5" s="1"/>
  <c r="J302" i="5"/>
  <c r="K302" i="5" s="1"/>
  <c r="J301" i="5"/>
  <c r="K301" i="5" s="1"/>
  <c r="V301" i="5"/>
  <c r="W301" i="5" s="1"/>
  <c r="P301" i="5"/>
  <c r="Q301" i="5" s="1"/>
  <c r="M301" i="5"/>
  <c r="N301" i="5" s="1"/>
  <c r="S301" i="5"/>
  <c r="T301" i="5" s="1"/>
  <c r="M199" i="5" l="1"/>
  <c r="AN300" i="5" l="1"/>
  <c r="AO300" i="5" s="1"/>
  <c r="AK300" i="5"/>
  <c r="AL300" i="5" s="1"/>
  <c r="V300" i="5"/>
  <c r="W300" i="5" s="1"/>
  <c r="S300" i="5"/>
  <c r="T300" i="5" s="1"/>
  <c r="P300" i="5"/>
  <c r="Q300" i="5" s="1"/>
  <c r="M300" i="5"/>
  <c r="N300" i="5" s="1"/>
  <c r="J300" i="5"/>
  <c r="K300" i="5" s="1"/>
  <c r="J299" i="5" l="1"/>
  <c r="K299" i="5" s="1"/>
  <c r="V299" i="5"/>
  <c r="W299" i="5" s="1"/>
  <c r="M299" i="5"/>
  <c r="N299" i="5" s="1"/>
  <c r="P299" i="5"/>
  <c r="Q299" i="5" s="1"/>
  <c r="S299" i="5"/>
  <c r="T299" i="5" s="1"/>
  <c r="J298" i="5" l="1"/>
  <c r="K298" i="5" s="1"/>
  <c r="M298" i="5"/>
  <c r="N298" i="5" s="1"/>
  <c r="P298" i="5"/>
  <c r="Q298" i="5" s="1"/>
  <c r="V298" i="5"/>
  <c r="W298" i="5" s="1"/>
  <c r="S298" i="5"/>
  <c r="T298" i="5" s="1"/>
  <c r="V297" i="5" l="1"/>
  <c r="W297" i="5" s="1"/>
  <c r="S297" i="5"/>
  <c r="T297" i="5" s="1"/>
  <c r="P297" i="5"/>
  <c r="Q297" i="5" s="1"/>
  <c r="M297" i="5"/>
  <c r="N297" i="5" s="1"/>
  <c r="J297" i="5"/>
  <c r="K297" i="5" s="1"/>
  <c r="J296" i="5"/>
  <c r="K296" i="5" s="1"/>
  <c r="V296" i="5"/>
  <c r="W296" i="5" s="1"/>
  <c r="M296" i="5"/>
  <c r="N296" i="5" s="1"/>
  <c r="P296" i="5"/>
  <c r="Q296" i="5" s="1"/>
  <c r="S296" i="5"/>
  <c r="T296" i="5" s="1"/>
  <c r="V295" i="5" l="1"/>
  <c r="W295" i="5" s="1"/>
  <c r="S295" i="5"/>
  <c r="T295" i="5" s="1"/>
  <c r="P295" i="5"/>
  <c r="Q295" i="5" s="1"/>
  <c r="M295" i="5"/>
  <c r="N295" i="5" s="1"/>
  <c r="J295" i="5"/>
  <c r="K295" i="5" s="1"/>
  <c r="V294" i="5" l="1"/>
  <c r="W294" i="5" s="1"/>
  <c r="S294" i="5"/>
  <c r="T294" i="5" s="1"/>
  <c r="P294" i="5"/>
  <c r="Q294" i="5" s="1"/>
  <c r="M294" i="5"/>
  <c r="N294" i="5" s="1"/>
  <c r="J294" i="5"/>
  <c r="K294" i="5" s="1"/>
  <c r="V293" i="5" l="1"/>
  <c r="W293" i="5" s="1"/>
  <c r="S293" i="5"/>
  <c r="T293" i="5" s="1"/>
  <c r="P293" i="5"/>
  <c r="Q293" i="5" s="1"/>
  <c r="M293" i="5"/>
  <c r="N293" i="5" s="1"/>
  <c r="J293" i="5"/>
  <c r="K293" i="5" s="1"/>
  <c r="J292" i="5" l="1"/>
  <c r="K292" i="5" s="1"/>
  <c r="M292" i="5"/>
  <c r="N292" i="5" s="1"/>
  <c r="P292" i="5"/>
  <c r="Q292" i="5" s="1"/>
  <c r="V292" i="5"/>
  <c r="W292" i="5" s="1"/>
  <c r="S292" i="5"/>
  <c r="T292" i="5" s="1"/>
  <c r="J291" i="5" l="1"/>
  <c r="K291" i="5" s="1"/>
  <c r="M291" i="5"/>
  <c r="N291" i="5" s="1"/>
  <c r="P291" i="5"/>
  <c r="Q291" i="5" s="1"/>
  <c r="S291" i="5"/>
  <c r="T291" i="5" s="1"/>
  <c r="V291" i="5"/>
  <c r="W291" i="5" s="1"/>
  <c r="V290" i="5"/>
  <c r="W290" i="5" s="1"/>
  <c r="J290" i="5"/>
  <c r="K290" i="5" s="1"/>
  <c r="M290" i="5"/>
  <c r="N290" i="5" s="1"/>
  <c r="P290" i="5"/>
  <c r="Q290" i="5" s="1"/>
  <c r="S290" i="5"/>
  <c r="T290" i="5" s="1"/>
  <c r="S11" i="5"/>
  <c r="J289" i="5" l="1"/>
  <c r="K289" i="5" s="1"/>
  <c r="M289" i="5"/>
  <c r="N289" i="5" s="1"/>
  <c r="V289" i="5"/>
  <c r="W289" i="5" s="1"/>
  <c r="P289" i="5"/>
  <c r="Q289" i="5" s="1"/>
  <c r="S289" i="5"/>
  <c r="T289" i="5" s="1"/>
  <c r="J155" i="5" l="1"/>
  <c r="K155" i="5" s="1"/>
  <c r="M155" i="5"/>
  <c r="N155" i="5" s="1"/>
  <c r="P155" i="5"/>
  <c r="Q155" i="5" s="1"/>
  <c r="S155" i="5"/>
  <c r="T155" i="5" s="1"/>
  <c r="V155" i="5"/>
  <c r="W155" i="5" s="1"/>
  <c r="S109" i="5"/>
  <c r="V288" i="5"/>
  <c r="W288" i="5" s="1"/>
  <c r="J288" i="5"/>
  <c r="K288" i="5" s="1"/>
  <c r="M288" i="5"/>
  <c r="N288" i="5" s="1"/>
  <c r="P288" i="5"/>
  <c r="Q288" i="5" s="1"/>
  <c r="S288" i="5"/>
  <c r="T288" i="5" s="1"/>
  <c r="J287" i="5" l="1"/>
  <c r="K287" i="5" s="1"/>
  <c r="M287" i="5"/>
  <c r="N287" i="5" s="1"/>
  <c r="P287" i="5"/>
  <c r="Q287" i="5" s="1"/>
  <c r="S287" i="5"/>
  <c r="T287" i="5" s="1"/>
  <c r="V287" i="5"/>
  <c r="W287" i="5" s="1"/>
  <c r="AK287" i="5"/>
  <c r="AL287" i="5" s="1"/>
  <c r="AN287" i="5"/>
  <c r="AO287" i="5" s="1"/>
  <c r="J286" i="5" l="1"/>
  <c r="K286" i="5" s="1"/>
  <c r="M286" i="5"/>
  <c r="N286" i="5" s="1"/>
  <c r="P286" i="5"/>
  <c r="Q286" i="5" s="1"/>
  <c r="V286" i="5"/>
  <c r="W286" i="5" s="1"/>
  <c r="S286" i="5"/>
  <c r="T286" i="5" s="1"/>
  <c r="V285" i="5"/>
  <c r="W285" i="5" s="1"/>
  <c r="S285" i="5"/>
  <c r="T285" i="5" s="1"/>
  <c r="P285" i="5"/>
  <c r="Q285" i="5" s="1"/>
  <c r="M285" i="5"/>
  <c r="N285" i="5" s="1"/>
  <c r="J285" i="5"/>
  <c r="K285" i="5" s="1"/>
  <c r="J284" i="5" l="1"/>
  <c r="K284" i="5" s="1"/>
  <c r="M284" i="5"/>
  <c r="N284" i="5" s="1"/>
  <c r="P284" i="5"/>
  <c r="Q284" i="5" s="1"/>
  <c r="V284" i="5"/>
  <c r="W284" i="5" s="1"/>
  <c r="S284" i="5"/>
  <c r="T284" i="5" s="1"/>
  <c r="J195" i="5" l="1"/>
  <c r="K195" i="5" s="1"/>
  <c r="M195" i="5"/>
  <c r="N195" i="5" s="1"/>
  <c r="P195" i="5"/>
  <c r="Q195" i="5" s="1"/>
  <c r="S195" i="5"/>
  <c r="T195" i="5" s="1"/>
  <c r="AN283" i="5" l="1"/>
  <c r="AO283" i="5" s="1"/>
  <c r="AK283" i="5"/>
  <c r="AL283" i="5" s="1"/>
  <c r="V283" i="5"/>
  <c r="W283" i="5" s="1"/>
  <c r="S283" i="5"/>
  <c r="T283" i="5" s="1"/>
  <c r="P283" i="5"/>
  <c r="Q283" i="5" s="1"/>
  <c r="M283" i="5"/>
  <c r="N283" i="5" s="1"/>
  <c r="J283" i="5"/>
  <c r="K283" i="5" s="1"/>
  <c r="V280" i="5" l="1"/>
  <c r="W280" i="5" s="1"/>
  <c r="S280" i="5"/>
  <c r="T280" i="5" s="1"/>
  <c r="P280" i="5"/>
  <c r="Q280" i="5" s="1"/>
  <c r="M280" i="5"/>
  <c r="N280" i="5" s="1"/>
  <c r="J280" i="5"/>
  <c r="K280" i="5" s="1"/>
  <c r="J281" i="5" l="1"/>
  <c r="K281" i="5" s="1"/>
  <c r="J282" i="5"/>
  <c r="K282" i="5" s="1"/>
  <c r="V282" i="5"/>
  <c r="W282" i="5" s="1"/>
  <c r="S282" i="5"/>
  <c r="T282" i="5" s="1"/>
  <c r="P282" i="5"/>
  <c r="Q282" i="5" s="1"/>
  <c r="M282" i="5"/>
  <c r="N282" i="5" s="1"/>
  <c r="P38" i="5" l="1"/>
  <c r="P249" i="5" l="1"/>
  <c r="V281" i="5" l="1"/>
  <c r="W281" i="5" s="1"/>
  <c r="S281" i="5"/>
  <c r="T281" i="5" s="1"/>
  <c r="M281" i="5"/>
  <c r="N281" i="5" s="1"/>
  <c r="P281" i="5"/>
  <c r="Q281" i="5" s="1"/>
  <c r="J279" i="5" l="1"/>
  <c r="K279" i="5" s="1"/>
  <c r="M279" i="5"/>
  <c r="N279" i="5" s="1"/>
  <c r="P279" i="5"/>
  <c r="Q279" i="5" s="1"/>
  <c r="V279" i="5"/>
  <c r="W279" i="5" s="1"/>
  <c r="S279" i="5"/>
  <c r="T279" i="5" s="1"/>
  <c r="V278" i="5" l="1"/>
  <c r="W278" i="5" s="1"/>
  <c r="S278" i="5"/>
  <c r="T278" i="5" s="1"/>
  <c r="P278" i="5"/>
  <c r="Q278" i="5" s="1"/>
  <c r="M278" i="5"/>
  <c r="N278" i="5" s="1"/>
  <c r="J278" i="5"/>
  <c r="K278" i="5" s="1"/>
  <c r="J277" i="5" l="1"/>
  <c r="K277" i="5" s="1"/>
  <c r="M277" i="5"/>
  <c r="N277" i="5" s="1"/>
  <c r="P277" i="5"/>
  <c r="Q277" i="5" s="1"/>
  <c r="V277" i="5"/>
  <c r="W277" i="5" s="1"/>
  <c r="S277" i="5"/>
  <c r="T277" i="5" s="1"/>
  <c r="J116" i="5" l="1"/>
  <c r="K116" i="5" s="1"/>
  <c r="M116" i="5"/>
  <c r="N116" i="5" s="1"/>
  <c r="P116" i="5"/>
  <c r="Q116" i="5" s="1"/>
  <c r="S116" i="5"/>
  <c r="T116" i="5" s="1"/>
  <c r="V116" i="5"/>
  <c r="W116" i="5" s="1"/>
  <c r="J276" i="5" l="1"/>
  <c r="K276" i="5" s="1"/>
  <c r="P276" i="5"/>
  <c r="Q276" i="5" s="1"/>
  <c r="V276" i="5" l="1"/>
  <c r="W276" i="5" s="1"/>
  <c r="S276" i="5"/>
  <c r="T276" i="5" s="1"/>
  <c r="M276" i="5"/>
  <c r="N276" i="5" s="1"/>
  <c r="S275" i="5" l="1"/>
  <c r="T275" i="5" s="1"/>
  <c r="V275" i="5"/>
  <c r="W275" i="5" s="1"/>
  <c r="M275" i="5"/>
  <c r="N275" i="5" s="1"/>
  <c r="P275" i="5"/>
  <c r="Q275" i="5" s="1"/>
  <c r="J275" i="5"/>
  <c r="K275" i="5" s="1"/>
  <c r="J274" i="5"/>
  <c r="K274" i="5" s="1"/>
  <c r="M274" i="5"/>
  <c r="N274" i="5" s="1"/>
  <c r="P274" i="5"/>
  <c r="Q274" i="5" s="1"/>
  <c r="S274" i="5"/>
  <c r="T274" i="5" s="1"/>
  <c r="V274" i="5"/>
  <c r="W274" i="5" s="1"/>
  <c r="V273" i="5"/>
  <c r="W273" i="5" s="1"/>
  <c r="M273" i="5"/>
  <c r="N273" i="5" s="1"/>
  <c r="J273" i="5"/>
  <c r="K273" i="5" s="1"/>
  <c r="P273" i="5"/>
  <c r="Q273" i="5" s="1"/>
  <c r="S273" i="5"/>
  <c r="T273" i="5" s="1"/>
  <c r="J272" i="5" l="1"/>
  <c r="K272" i="5" s="1"/>
  <c r="M272" i="5"/>
  <c r="N272" i="5" s="1"/>
  <c r="P272" i="5"/>
  <c r="Q272" i="5" s="1"/>
  <c r="V272" i="5"/>
  <c r="W272" i="5" s="1"/>
  <c r="S272" i="5"/>
  <c r="T272" i="5" s="1"/>
  <c r="J271" i="5" l="1"/>
  <c r="K271" i="5" s="1"/>
  <c r="M271" i="5"/>
  <c r="N271" i="5" s="1"/>
  <c r="P271" i="5"/>
  <c r="Q271" i="5" s="1"/>
  <c r="V271" i="5"/>
  <c r="W271" i="5" s="1"/>
  <c r="S271" i="5"/>
  <c r="T271" i="5" s="1"/>
  <c r="J270" i="5" l="1"/>
  <c r="K270" i="5" s="1"/>
  <c r="M270" i="5"/>
  <c r="N270" i="5" s="1"/>
  <c r="P270" i="5"/>
  <c r="Q270" i="5" s="1"/>
  <c r="V270" i="5"/>
  <c r="W270" i="5" s="1"/>
  <c r="S270" i="5"/>
  <c r="T270" i="5" s="1"/>
  <c r="J269" i="5" l="1"/>
  <c r="K269" i="5" s="1"/>
  <c r="M269" i="5"/>
  <c r="N269" i="5" s="1"/>
  <c r="P269" i="5"/>
  <c r="Q269" i="5" s="1"/>
  <c r="V269" i="5"/>
  <c r="W269" i="5" s="1"/>
  <c r="S269" i="5"/>
  <c r="T269" i="5" s="1"/>
  <c r="J165" i="5" l="1"/>
  <c r="K165" i="5" s="1"/>
  <c r="M165" i="5"/>
  <c r="N165" i="5" s="1"/>
  <c r="P165" i="5"/>
  <c r="Q165" i="5" s="1"/>
  <c r="V165" i="5"/>
  <c r="W165" i="5" s="1"/>
  <c r="S165" i="5"/>
  <c r="T165" i="5" s="1"/>
  <c r="V268" i="5" l="1"/>
  <c r="W268" i="5" s="1"/>
  <c r="S268" i="5"/>
  <c r="T268" i="5" s="1"/>
  <c r="P268" i="5"/>
  <c r="Q268" i="5" s="1"/>
  <c r="M268" i="5"/>
  <c r="N268" i="5" s="1"/>
  <c r="J268" i="5"/>
  <c r="K268" i="5" s="1"/>
  <c r="J267" i="5"/>
  <c r="K267" i="5" s="1"/>
  <c r="M267" i="5"/>
  <c r="N267" i="5" s="1"/>
  <c r="P267" i="5"/>
  <c r="Q267" i="5" s="1"/>
  <c r="V267" i="5"/>
  <c r="W267" i="5" s="1"/>
  <c r="S267" i="5"/>
  <c r="T267" i="5" s="1"/>
  <c r="J266" i="5" l="1"/>
  <c r="K266" i="5" s="1"/>
  <c r="M266" i="5"/>
  <c r="N266" i="5" s="1"/>
  <c r="P266" i="5"/>
  <c r="Q266" i="5" s="1"/>
  <c r="V266" i="5"/>
  <c r="W266" i="5" s="1"/>
  <c r="S266" i="5"/>
  <c r="T266" i="5" s="1"/>
  <c r="M37" i="5" l="1"/>
  <c r="N37" i="5" s="1"/>
  <c r="V265" i="5" l="1"/>
  <c r="W265" i="5" s="1"/>
  <c r="S265" i="5"/>
  <c r="T265" i="5" s="1"/>
  <c r="P265" i="5"/>
  <c r="Q265" i="5" s="1"/>
  <c r="M265" i="5"/>
  <c r="N265" i="5" s="1"/>
  <c r="J265" i="5"/>
  <c r="K265" i="5" s="1"/>
  <c r="J264" i="5" l="1"/>
  <c r="K264" i="5" s="1"/>
  <c r="M264" i="5"/>
  <c r="N264" i="5" s="1"/>
  <c r="P264" i="5"/>
  <c r="Q264" i="5" s="1"/>
  <c r="V264" i="5"/>
  <c r="W264" i="5" s="1"/>
  <c r="S264" i="5"/>
  <c r="T264" i="5" s="1"/>
  <c r="J115" i="5" l="1"/>
  <c r="K115" i="5" s="1"/>
  <c r="M115" i="5"/>
  <c r="N115" i="5" s="1"/>
  <c r="P115" i="5"/>
  <c r="Q115" i="5" s="1"/>
  <c r="S115" i="5"/>
  <c r="T115" i="5" s="1"/>
  <c r="V115" i="5"/>
  <c r="W115" i="5" s="1"/>
  <c r="AN263" i="5" l="1"/>
  <c r="AO263" i="5" s="1"/>
  <c r="AK263" i="5"/>
  <c r="AL263" i="5" s="1"/>
  <c r="V263" i="5"/>
  <c r="W263" i="5" s="1"/>
  <c r="S263" i="5"/>
  <c r="T263" i="5" s="1"/>
  <c r="P263" i="5"/>
  <c r="Q263" i="5" s="1"/>
  <c r="M263" i="5"/>
  <c r="N263" i="5" s="1"/>
  <c r="J263" i="5"/>
  <c r="K263" i="5" s="1"/>
  <c r="V114" i="5" l="1"/>
  <c r="W114" i="5" s="1"/>
  <c r="P114" i="5"/>
  <c r="Q114" i="5" s="1"/>
  <c r="J114" i="5"/>
  <c r="K114" i="5" s="1"/>
  <c r="M114" i="5"/>
  <c r="N114" i="5" s="1"/>
  <c r="S114" i="5"/>
  <c r="T114" i="5" s="1"/>
  <c r="J262" i="5"/>
  <c r="K262" i="5" s="1"/>
  <c r="V262" i="5"/>
  <c r="W262" i="5" s="1"/>
  <c r="P262" i="5"/>
  <c r="Q262" i="5" s="1"/>
  <c r="M262" i="5"/>
  <c r="N262" i="5" s="1"/>
  <c r="S262" i="5"/>
  <c r="T262" i="5" s="1"/>
  <c r="J200" i="5" l="1"/>
  <c r="K200" i="5" s="1"/>
  <c r="M200" i="5"/>
  <c r="N200" i="5" s="1"/>
  <c r="P200" i="5"/>
  <c r="Q200" i="5" s="1"/>
  <c r="V200" i="5"/>
  <c r="W200" i="5" s="1"/>
  <c r="S200" i="5"/>
  <c r="T200" i="5" s="1"/>
  <c r="J261" i="5" l="1"/>
  <c r="K261" i="5" s="1"/>
  <c r="S261" i="5"/>
  <c r="T261" i="5" s="1"/>
  <c r="V261" i="5"/>
  <c r="W261" i="5" s="1"/>
  <c r="P261" i="5"/>
  <c r="Q261" i="5" s="1"/>
  <c r="M261" i="5"/>
  <c r="N261" i="5" s="1"/>
  <c r="AN260" i="5"/>
  <c r="AO260" i="5" s="1"/>
  <c r="V260" i="5"/>
  <c r="W260" i="5" s="1"/>
  <c r="S260" i="5"/>
  <c r="T260" i="5" s="1"/>
  <c r="P260" i="5"/>
  <c r="Q260" i="5" s="1"/>
  <c r="M260" i="5"/>
  <c r="N260" i="5" s="1"/>
  <c r="J260" i="5"/>
  <c r="K260" i="5" s="1"/>
  <c r="J259" i="5"/>
  <c r="K259" i="5" s="1"/>
  <c r="M259" i="5"/>
  <c r="N259" i="5" s="1"/>
  <c r="P259" i="5"/>
  <c r="Q259" i="5" s="1"/>
  <c r="V259" i="5"/>
  <c r="W259" i="5" s="1"/>
  <c r="S259" i="5"/>
  <c r="T259" i="5" s="1"/>
  <c r="J161" i="5" l="1"/>
  <c r="K161" i="5" s="1"/>
  <c r="M161" i="5"/>
  <c r="N161" i="5" s="1"/>
  <c r="P161" i="5"/>
  <c r="Q161" i="5" s="1"/>
  <c r="S161" i="5"/>
  <c r="T161" i="5" s="1"/>
  <c r="V161" i="5"/>
  <c r="W161" i="5" s="1"/>
  <c r="AK161" i="5"/>
  <c r="AL161" i="5" s="1"/>
  <c r="AN161" i="5"/>
  <c r="AO161" i="5" s="1"/>
  <c r="S194" i="5" l="1"/>
  <c r="T194" i="5" s="1"/>
  <c r="S258" i="5"/>
  <c r="T258" i="5" s="1"/>
  <c r="V258" i="5"/>
  <c r="W258" i="5" s="1"/>
  <c r="P258" i="5"/>
  <c r="Q258" i="5" s="1"/>
  <c r="M258" i="5"/>
  <c r="N258" i="5" s="1"/>
  <c r="J258" i="5"/>
  <c r="K258" i="5" s="1"/>
  <c r="J257" i="5"/>
  <c r="K257" i="5" s="1"/>
  <c r="M257" i="5"/>
  <c r="N257" i="5" s="1"/>
  <c r="P257" i="5"/>
  <c r="Q257" i="5" s="1"/>
  <c r="V257" i="5"/>
  <c r="W257" i="5" s="1"/>
  <c r="S257" i="5"/>
  <c r="T257" i="5" s="1"/>
  <c r="J119" i="5" l="1"/>
  <c r="K119" i="5" s="1"/>
  <c r="M119" i="5" l="1"/>
  <c r="N119" i="5" s="1"/>
  <c r="P119" i="5"/>
  <c r="Q119" i="5" s="1"/>
  <c r="V119" i="5"/>
  <c r="W119" i="5" s="1"/>
  <c r="S119" i="5"/>
  <c r="T119" i="5" s="1"/>
  <c r="J255" i="5" l="1"/>
  <c r="K255" i="5" s="1"/>
  <c r="M255" i="5"/>
  <c r="N255" i="5" s="1"/>
  <c r="P255" i="5"/>
  <c r="Q255" i="5" s="1"/>
  <c r="S255" i="5"/>
  <c r="T255" i="5" s="1"/>
  <c r="V255" i="5"/>
  <c r="W255" i="5" s="1"/>
  <c r="AN256" i="5" l="1"/>
  <c r="AO256" i="5" s="1"/>
  <c r="V256" i="5"/>
  <c r="W256" i="5" s="1"/>
  <c r="S256" i="5"/>
  <c r="T256" i="5" s="1"/>
  <c r="P256" i="5"/>
  <c r="Q256" i="5" s="1"/>
  <c r="M256" i="5"/>
  <c r="N256" i="5" s="1"/>
  <c r="J256" i="5"/>
  <c r="K256" i="5" s="1"/>
  <c r="V254" i="5" l="1"/>
  <c r="W254" i="5" s="1"/>
  <c r="P254" i="5"/>
  <c r="Q254" i="5" s="1"/>
  <c r="M254" i="5"/>
  <c r="N254" i="5" s="1"/>
  <c r="J254" i="5"/>
  <c r="K254" i="5" s="1"/>
  <c r="S254" i="5"/>
  <c r="T254" i="5" s="1"/>
  <c r="V253" i="5" l="1"/>
  <c r="W253" i="5" s="1"/>
  <c r="P253" i="5"/>
  <c r="Q253" i="5" s="1"/>
  <c r="M253" i="5"/>
  <c r="N253" i="5" s="1"/>
  <c r="J253" i="5"/>
  <c r="K253" i="5" s="1"/>
  <c r="S253" i="5"/>
  <c r="T253" i="5" s="1"/>
  <c r="AN252" i="5" l="1"/>
  <c r="AO252" i="5" s="1"/>
  <c r="AK252" i="5"/>
  <c r="AL252" i="5" s="1"/>
  <c r="V252" i="5"/>
  <c r="W252" i="5" s="1"/>
  <c r="S252" i="5"/>
  <c r="T252" i="5" s="1"/>
  <c r="P252" i="5"/>
  <c r="Q252" i="5" s="1"/>
  <c r="M252" i="5"/>
  <c r="N252" i="5" s="1"/>
  <c r="J252" i="5"/>
  <c r="K252" i="5" s="1"/>
  <c r="V251" i="5" l="1"/>
  <c r="W251" i="5" s="1"/>
  <c r="S251" i="5"/>
  <c r="T251" i="5" s="1"/>
  <c r="P251" i="5"/>
  <c r="Q251" i="5" s="1"/>
  <c r="M251" i="5"/>
  <c r="N251" i="5" s="1"/>
  <c r="J251" i="5"/>
  <c r="K251" i="5" s="1"/>
  <c r="J250" i="5"/>
  <c r="K250" i="5" s="1"/>
  <c r="V250" i="5"/>
  <c r="W250" i="5" s="1"/>
  <c r="P250" i="5"/>
  <c r="Q250" i="5" s="1"/>
  <c r="S250" i="5"/>
  <c r="T250" i="5" s="1"/>
  <c r="M250" i="5"/>
  <c r="N250" i="5" s="1"/>
  <c r="AN249" i="5"/>
  <c r="AO249" i="5" s="1"/>
  <c r="AK249" i="5"/>
  <c r="AL249" i="5" s="1"/>
  <c r="V249" i="5"/>
  <c r="W249" i="5" s="1"/>
  <c r="S249" i="5"/>
  <c r="T249" i="5" s="1"/>
  <c r="Q249" i="5"/>
  <c r="M249" i="5"/>
  <c r="N249" i="5" s="1"/>
  <c r="J249" i="5"/>
  <c r="K249" i="5" s="1"/>
  <c r="AN248" i="5" l="1"/>
  <c r="AO248" i="5" s="1"/>
  <c r="AK248" i="5"/>
  <c r="AL248" i="5" s="1"/>
  <c r="V248" i="5"/>
  <c r="W248" i="5" s="1"/>
  <c r="S248" i="5"/>
  <c r="T248" i="5" s="1"/>
  <c r="Q248" i="5"/>
  <c r="M248" i="5"/>
  <c r="N248" i="5" s="1"/>
  <c r="J248" i="5"/>
  <c r="K248" i="5" s="1"/>
  <c r="M239" i="5" l="1"/>
  <c r="N239" i="5" s="1"/>
  <c r="M238" i="5"/>
  <c r="N238" i="5" s="1"/>
  <c r="M237" i="5"/>
  <c r="N237" i="5" s="1"/>
  <c r="M236" i="5"/>
  <c r="N236" i="5" s="1"/>
  <c r="M235" i="5"/>
  <c r="N235" i="5" s="1"/>
  <c r="M234" i="5"/>
  <c r="N234" i="5" s="1"/>
  <c r="M233" i="5"/>
  <c r="N233" i="5" s="1"/>
  <c r="M232" i="5"/>
  <c r="N232" i="5" s="1"/>
  <c r="M230" i="5"/>
  <c r="N230" i="5" s="1"/>
  <c r="M229" i="5"/>
  <c r="N229" i="5" s="1"/>
  <c r="M228" i="5"/>
  <c r="N228" i="5" s="1"/>
  <c r="M225" i="5"/>
  <c r="N225" i="5" s="1"/>
  <c r="M223" i="5"/>
  <c r="N223" i="5" s="1"/>
  <c r="M222" i="5"/>
  <c r="N222" i="5" s="1"/>
  <c r="M221" i="5"/>
  <c r="N221" i="5" s="1"/>
  <c r="M220" i="5"/>
  <c r="N220" i="5" s="1"/>
  <c r="M219" i="5"/>
  <c r="N219" i="5" s="1"/>
  <c r="M218" i="5"/>
  <c r="N218" i="5" s="1"/>
  <c r="M217" i="5"/>
  <c r="N217" i="5" s="1"/>
  <c r="M215" i="5"/>
  <c r="N215" i="5" s="1"/>
  <c r="M214" i="5"/>
  <c r="N214" i="5" s="1"/>
  <c r="M211" i="5"/>
  <c r="N211" i="5" s="1"/>
  <c r="M210" i="5"/>
  <c r="N210" i="5" s="1"/>
  <c r="M209" i="5"/>
  <c r="N209" i="5" s="1"/>
  <c r="M208" i="5"/>
  <c r="N208" i="5" s="1"/>
  <c r="M207" i="5"/>
  <c r="N207" i="5" s="1"/>
  <c r="M206" i="5"/>
  <c r="N206" i="5" s="1"/>
  <c r="M205" i="5"/>
  <c r="N205" i="5" s="1"/>
  <c r="N204" i="5"/>
  <c r="N203" i="5"/>
  <c r="M201" i="5"/>
  <c r="N201" i="5" s="1"/>
  <c r="N199" i="5"/>
  <c r="M197" i="5"/>
  <c r="N197" i="5" s="1"/>
  <c r="M196" i="5"/>
  <c r="N196" i="5" s="1"/>
  <c r="M194" i="5"/>
  <c r="N194" i="5" s="1"/>
  <c r="M193" i="5"/>
  <c r="N193" i="5" s="1"/>
  <c r="M192" i="5"/>
  <c r="N192" i="5" s="1"/>
  <c r="M191" i="5"/>
  <c r="N191" i="5" s="1"/>
  <c r="M189" i="5"/>
  <c r="N189" i="5" s="1"/>
  <c r="M188" i="5"/>
  <c r="N188" i="5" s="1"/>
  <c r="M187" i="5"/>
  <c r="N187" i="5" s="1"/>
  <c r="M186" i="5"/>
  <c r="N186" i="5" s="1"/>
  <c r="M185" i="5"/>
  <c r="N185" i="5" s="1"/>
  <c r="M184" i="5"/>
  <c r="N184" i="5" s="1"/>
  <c r="M183" i="5"/>
  <c r="N183" i="5" s="1"/>
  <c r="M182" i="5"/>
  <c r="N182" i="5" s="1"/>
  <c r="M181" i="5"/>
  <c r="N181" i="5" s="1"/>
  <c r="M180" i="5"/>
  <c r="N180" i="5" s="1"/>
  <c r="M179" i="5"/>
  <c r="N179" i="5" s="1"/>
  <c r="M178" i="5"/>
  <c r="N178" i="5" s="1"/>
  <c r="M177" i="5"/>
  <c r="N177" i="5" s="1"/>
  <c r="M176" i="5"/>
  <c r="N176" i="5" s="1"/>
  <c r="M240" i="5" l="1"/>
  <c r="N240" i="5" s="1"/>
  <c r="M241" i="5"/>
  <c r="N241" i="5" s="1"/>
  <c r="M242" i="5"/>
  <c r="N242" i="5" s="1"/>
  <c r="M243" i="5"/>
  <c r="N243" i="5" s="1"/>
  <c r="M171" i="5"/>
  <c r="N171" i="5" s="1"/>
  <c r="V247" i="5"/>
  <c r="W247" i="5" s="1"/>
  <c r="P247" i="5"/>
  <c r="Q247" i="5" s="1"/>
  <c r="J247" i="5"/>
  <c r="K247" i="5" s="1"/>
  <c r="S247" i="5"/>
  <c r="T247" i="5" s="1"/>
  <c r="N247" i="5"/>
  <c r="J246" i="5"/>
  <c r="K246" i="5" s="1"/>
  <c r="P246" i="5"/>
  <c r="Q246" i="5" s="1"/>
  <c r="S246" i="5"/>
  <c r="T246" i="5" s="1"/>
  <c r="V246" i="5"/>
  <c r="W246" i="5" s="1"/>
  <c r="M245" i="5"/>
  <c r="N245" i="5" s="1"/>
  <c r="M246" i="5"/>
  <c r="N246" i="5" s="1"/>
  <c r="M231" i="5"/>
  <c r="N231" i="5" s="1"/>
  <c r="N227" i="5"/>
  <c r="M226" i="5"/>
  <c r="N226" i="5" s="1"/>
  <c r="M224" i="5"/>
  <c r="N224" i="5" s="1"/>
  <c r="M244" i="5"/>
  <c r="N244" i="5" s="1"/>
  <c r="M216" i="5"/>
  <c r="N216" i="5" s="1"/>
  <c r="M213" i="5"/>
  <c r="N213" i="5" s="1"/>
  <c r="M212" i="5"/>
  <c r="N212" i="5" s="1"/>
  <c r="M202" i="5"/>
  <c r="N202" i="5" s="1"/>
  <c r="M198" i="5"/>
  <c r="N198" i="5" s="1"/>
  <c r="M157" i="5"/>
  <c r="N157" i="5" s="1"/>
  <c r="M156" i="5"/>
  <c r="N156" i="5" s="1"/>
  <c r="V245" i="5" l="1"/>
  <c r="W245" i="5" s="1"/>
  <c r="J245" i="5"/>
  <c r="K245" i="5" s="1"/>
  <c r="P245" i="5"/>
  <c r="Q245" i="5" s="1"/>
  <c r="S245" i="5"/>
  <c r="T245" i="5" s="1"/>
  <c r="M151" i="5" l="1"/>
  <c r="N151" i="5" s="1"/>
  <c r="M124" i="5"/>
  <c r="N124" i="5" s="1"/>
  <c r="M113" i="5"/>
  <c r="N113" i="5" s="1"/>
  <c r="M89" i="5"/>
  <c r="N89" i="5" s="1"/>
  <c r="J244" i="5" l="1"/>
  <c r="K244" i="5" s="1"/>
  <c r="P244" i="5"/>
  <c r="Q244" i="5" s="1"/>
  <c r="S244" i="5"/>
  <c r="T244" i="5" s="1"/>
  <c r="V244" i="5"/>
  <c r="W244" i="5" s="1"/>
  <c r="V243" i="5"/>
  <c r="W243" i="5" s="1"/>
  <c r="S243" i="5"/>
  <c r="T243" i="5" s="1"/>
  <c r="P243" i="5"/>
  <c r="Q243" i="5" s="1"/>
  <c r="J243" i="5"/>
  <c r="K243" i="5" s="1"/>
  <c r="J242" i="5"/>
  <c r="K242" i="5" s="1"/>
  <c r="P242" i="5"/>
  <c r="Q242" i="5" s="1"/>
  <c r="S242" i="5"/>
  <c r="T242" i="5" s="1"/>
  <c r="V242" i="5"/>
  <c r="W242" i="5" s="1"/>
  <c r="V241" i="5"/>
  <c r="W241" i="5" s="1"/>
  <c r="S241" i="5"/>
  <c r="T241" i="5" s="1"/>
  <c r="P241" i="5"/>
  <c r="Q241" i="5" s="1"/>
  <c r="J241" i="5"/>
  <c r="K241" i="5" s="1"/>
  <c r="J240" i="5"/>
  <c r="K240" i="5" s="1"/>
  <c r="P240" i="5"/>
  <c r="Q240" i="5" s="1"/>
  <c r="V240" i="5"/>
  <c r="W240" i="5" s="1"/>
  <c r="S240" i="5"/>
  <c r="T240" i="5" s="1"/>
  <c r="V235" i="5" l="1"/>
  <c r="W235" i="5" s="1"/>
  <c r="P235" i="5"/>
  <c r="Q235" i="5" s="1"/>
  <c r="P234" i="5"/>
  <c r="Q234" i="5" s="1"/>
  <c r="V234" i="5"/>
  <c r="W234" i="5" s="1"/>
  <c r="V233" i="5"/>
  <c r="W233" i="5" s="1"/>
  <c r="P233" i="5"/>
  <c r="Q233" i="5" s="1"/>
  <c r="P226" i="5"/>
  <c r="Q226" i="5" s="1"/>
  <c r="P225" i="5"/>
  <c r="Q225" i="5" s="1"/>
  <c r="P224" i="5"/>
  <c r="Q224" i="5" s="1"/>
  <c r="P223" i="5"/>
  <c r="Q223" i="5" s="1"/>
  <c r="P151" i="5"/>
  <c r="Q151" i="5" s="1"/>
  <c r="V151" i="5"/>
  <c r="W151" i="5" s="1"/>
  <c r="J218" i="5"/>
  <c r="K218" i="5" s="1"/>
  <c r="J217" i="5"/>
  <c r="K217" i="5" s="1"/>
  <c r="J215" i="5"/>
  <c r="K215" i="5" s="1"/>
  <c r="J214" i="5"/>
  <c r="K214" i="5" s="1"/>
  <c r="J213" i="5" l="1"/>
  <c r="K213" i="5" s="1"/>
  <c r="J212" i="5"/>
  <c r="K212" i="5" s="1"/>
  <c r="J211" i="5"/>
  <c r="K211" i="5" s="1"/>
  <c r="J207" i="5"/>
  <c r="K207" i="5" s="1"/>
  <c r="J205" i="5"/>
  <c r="K205" i="5" s="1"/>
  <c r="J204" i="5"/>
  <c r="K204" i="5" s="1"/>
  <c r="J203" i="5"/>
  <c r="K203" i="5" s="1"/>
  <c r="J199" i="5"/>
  <c r="K199" i="5" s="1"/>
  <c r="J198" i="5"/>
  <c r="K198" i="5" s="1"/>
  <c r="J197" i="5"/>
  <c r="K197" i="5" s="1"/>
  <c r="J210" i="5"/>
  <c r="K210" i="5" s="1"/>
  <c r="J209" i="5"/>
  <c r="K209" i="5" s="1"/>
  <c r="J193" i="5"/>
  <c r="K193" i="5" s="1"/>
  <c r="J191" i="5"/>
  <c r="K191" i="5" s="1"/>
  <c r="J189" i="5"/>
  <c r="K189" i="5" s="1"/>
  <c r="J188" i="5"/>
  <c r="K188" i="5" s="1"/>
  <c r="J187" i="5"/>
  <c r="K187" i="5" s="1"/>
  <c r="J186" i="5"/>
  <c r="K186" i="5" s="1"/>
  <c r="J185" i="5"/>
  <c r="K185" i="5" s="1"/>
  <c r="J239" i="5"/>
  <c r="K239" i="5" s="1"/>
  <c r="P239" i="5"/>
  <c r="Q239" i="5" s="1"/>
  <c r="S239" i="5"/>
  <c r="T239" i="5" s="1"/>
  <c r="V239" i="5"/>
  <c r="W239" i="5" s="1"/>
  <c r="V238" i="5"/>
  <c r="W238" i="5" s="1"/>
  <c r="S238" i="5"/>
  <c r="T238" i="5" s="1"/>
  <c r="P238" i="5"/>
  <c r="Q238" i="5" s="1"/>
  <c r="J238" i="5"/>
  <c r="K238" i="5" s="1"/>
  <c r="J237" i="5"/>
  <c r="K237" i="5" s="1"/>
  <c r="P237" i="5"/>
  <c r="Q237" i="5" s="1"/>
  <c r="V237" i="5"/>
  <c r="W237" i="5" s="1"/>
  <c r="S237" i="5"/>
  <c r="T237" i="5" s="1"/>
  <c r="S151" i="5"/>
  <c r="T151" i="5" s="1"/>
  <c r="S235" i="5"/>
  <c r="T235" i="5" s="1"/>
  <c r="S234" i="5"/>
  <c r="T234" i="5" s="1"/>
  <c r="S233" i="5"/>
  <c r="T233" i="5" s="1"/>
  <c r="AX66" i="5" l="1"/>
  <c r="AX67" i="5" s="1"/>
  <c r="J194" i="5" l="1"/>
  <c r="K194" i="5" s="1"/>
  <c r="V236" i="5" l="1"/>
  <c r="W236" i="5" s="1"/>
  <c r="S236" i="5"/>
  <c r="T236" i="5" s="1"/>
  <c r="P236" i="5"/>
  <c r="Q236" i="5" s="1"/>
  <c r="J236" i="5"/>
  <c r="K236" i="5" s="1"/>
  <c r="J219" i="5" l="1"/>
  <c r="K219" i="5" s="1"/>
  <c r="J216" i="5"/>
  <c r="K216" i="5" s="1"/>
  <c r="J196" i="5"/>
  <c r="K196" i="5" s="1"/>
  <c r="J220" i="5"/>
  <c r="K220" i="5" s="1"/>
  <c r="J206" i="5"/>
  <c r="K206" i="5" s="1"/>
  <c r="J208" i="5"/>
  <c r="K208" i="5" s="1"/>
  <c r="J202" i="5"/>
  <c r="K202" i="5" s="1"/>
  <c r="J201" i="5"/>
  <c r="K201" i="5" s="1"/>
  <c r="J184" i="5"/>
  <c r="K184" i="5" s="1"/>
  <c r="J183" i="5"/>
  <c r="K183" i="5" s="1"/>
  <c r="J182" i="5"/>
  <c r="K182" i="5" s="1"/>
  <c r="J181" i="5"/>
  <c r="K181" i="5" s="1"/>
  <c r="J180" i="5"/>
  <c r="K180" i="5" s="1"/>
  <c r="J179" i="5"/>
  <c r="K179" i="5" s="1"/>
  <c r="J178" i="5"/>
  <c r="K178" i="5" s="1"/>
  <c r="J177" i="5"/>
  <c r="K177" i="5" s="1"/>
  <c r="J176" i="5"/>
  <c r="K176" i="5" s="1"/>
  <c r="J171" i="5"/>
  <c r="K171" i="5" s="1"/>
  <c r="V157" i="5"/>
  <c r="W157" i="5" s="1"/>
  <c r="S157" i="5"/>
  <c r="T157" i="5" s="1"/>
  <c r="P157" i="5"/>
  <c r="Q157" i="5" s="1"/>
  <c r="J157" i="5"/>
  <c r="K157" i="5" s="1"/>
  <c r="J156" i="5"/>
  <c r="K156" i="5" s="1"/>
  <c r="J151" i="5"/>
  <c r="K151" i="5" s="1"/>
  <c r="J124" i="5"/>
  <c r="K124" i="5" s="1"/>
  <c r="P113" i="5"/>
  <c r="Q113" i="5" s="1"/>
  <c r="J113" i="5"/>
  <c r="K113" i="5" s="1"/>
  <c r="J89" i="5"/>
  <c r="K89" i="5" s="1"/>
  <c r="J68" i="5"/>
  <c r="K68" i="5" s="1"/>
  <c r="J235" i="5" l="1"/>
  <c r="K235" i="5" s="1"/>
  <c r="J234" i="5"/>
  <c r="K234" i="5" s="1"/>
  <c r="J222" i="5"/>
  <c r="K222" i="5" s="1"/>
  <c r="J223" i="5"/>
  <c r="K223" i="5" s="1"/>
  <c r="J224" i="5"/>
  <c r="K224" i="5" s="1"/>
  <c r="J225" i="5"/>
  <c r="K225" i="5" s="1"/>
  <c r="J226" i="5"/>
  <c r="K226" i="5" s="1"/>
  <c r="J227" i="5"/>
  <c r="K227" i="5" s="1"/>
  <c r="J228" i="5"/>
  <c r="K228" i="5" s="1"/>
  <c r="J229" i="5"/>
  <c r="K229" i="5" s="1"/>
  <c r="J230" i="5"/>
  <c r="K230" i="5" s="1"/>
  <c r="J231" i="5"/>
  <c r="K231" i="5" s="1"/>
  <c r="J232" i="5"/>
  <c r="K232" i="5" s="1"/>
  <c r="J233" i="5"/>
  <c r="K233" i="5" s="1"/>
  <c r="P232" i="5" l="1"/>
  <c r="Q232" i="5" s="1"/>
  <c r="S232" i="5"/>
  <c r="T232" i="5" s="1"/>
  <c r="V232" i="5"/>
  <c r="W232" i="5" s="1"/>
  <c r="V231" i="5" l="1"/>
  <c r="W231" i="5" s="1"/>
  <c r="P231" i="5"/>
  <c r="Q231" i="5" s="1"/>
  <c r="S231" i="5"/>
  <c r="T231" i="5" s="1"/>
  <c r="P230" i="5" l="1"/>
  <c r="Q230" i="5" s="1"/>
  <c r="V230" i="5"/>
  <c r="W230" i="5" s="1"/>
  <c r="S230" i="5"/>
  <c r="T230" i="5" s="1"/>
  <c r="P229" i="5" l="1"/>
  <c r="Q229" i="5" s="1"/>
  <c r="V229" i="5"/>
  <c r="W229" i="5" s="1"/>
  <c r="S229" i="5"/>
  <c r="T229" i="5" s="1"/>
  <c r="P228" i="5" l="1"/>
  <c r="Q228" i="5" s="1"/>
  <c r="V228" i="5"/>
  <c r="W228" i="5" s="1"/>
  <c r="S228" i="5"/>
  <c r="T228" i="5" s="1"/>
  <c r="P227" i="5" l="1"/>
  <c r="Q227" i="5" s="1"/>
  <c r="V227" i="5"/>
  <c r="W227" i="5" s="1"/>
  <c r="S227" i="5"/>
  <c r="T227" i="5" s="1"/>
  <c r="S226" i="5" l="1"/>
  <c r="T226" i="5" s="1"/>
  <c r="V226" i="5"/>
  <c r="W226" i="5" s="1"/>
  <c r="V225" i="5"/>
  <c r="W225" i="5" s="1"/>
  <c r="S225" i="5"/>
  <c r="T225" i="5" s="1"/>
  <c r="V223" i="5" l="1"/>
  <c r="W223" i="5" s="1"/>
  <c r="V224" i="5"/>
  <c r="W224" i="5" s="1"/>
  <c r="S223" i="5"/>
  <c r="T223" i="5" s="1"/>
  <c r="S224" i="5"/>
  <c r="T224" i="5" s="1"/>
  <c r="AN191" i="5" l="1"/>
  <c r="AO191" i="5" s="1"/>
  <c r="AN181" i="5"/>
  <c r="AO181" i="5" s="1"/>
  <c r="AN174" i="5"/>
  <c r="AO174" i="5" s="1"/>
  <c r="AN160" i="5"/>
  <c r="AO160" i="5" s="1"/>
  <c r="AN202" i="5"/>
  <c r="AO202" i="5" s="1"/>
  <c r="P221" i="5" l="1"/>
  <c r="Q221" i="5" s="1"/>
  <c r="P222" i="5"/>
  <c r="Q222" i="5" s="1"/>
  <c r="AN222" i="5"/>
  <c r="AO222" i="5" s="1"/>
  <c r="V222" i="5"/>
  <c r="W222" i="5" s="1"/>
  <c r="S222" i="5"/>
  <c r="T222" i="5" s="1"/>
  <c r="J221" i="5" l="1"/>
  <c r="K221" i="5" s="1"/>
  <c r="AN164" i="5"/>
  <c r="AO164" i="5" s="1"/>
  <c r="J192" i="5"/>
  <c r="K192" i="5" s="1"/>
  <c r="AN192" i="5"/>
  <c r="AO192" i="5" s="1"/>
  <c r="AN153" i="5"/>
  <c r="AO153" i="5" s="1"/>
  <c r="AN221" i="5" l="1"/>
  <c r="AO221" i="5" s="1"/>
  <c r="V221" i="5"/>
  <c r="W221" i="5" s="1"/>
  <c r="S221" i="5"/>
  <c r="T221" i="5" s="1"/>
  <c r="AN220" i="5" l="1"/>
  <c r="AO220" i="5" s="1"/>
  <c r="P220" i="5"/>
  <c r="Q220" i="5" s="1"/>
  <c r="V220" i="5"/>
  <c r="W220" i="5" s="1"/>
  <c r="S220" i="5"/>
  <c r="T220" i="5" s="1"/>
  <c r="P219" i="5" l="1"/>
  <c r="Q219" i="5" s="1"/>
  <c r="V219" i="5"/>
  <c r="W219" i="5" s="1"/>
  <c r="S219" i="5"/>
  <c r="T219" i="5" s="1"/>
  <c r="P218" i="5" l="1"/>
  <c r="Q218" i="5" s="1"/>
  <c r="V218" i="5"/>
  <c r="W218" i="5" s="1"/>
  <c r="S218" i="5"/>
  <c r="T218" i="5" s="1"/>
  <c r="AN216" i="5" l="1"/>
  <c r="AO216" i="5" s="1"/>
  <c r="AN197" i="5"/>
  <c r="AO197" i="5" s="1"/>
  <c r="P171" i="5" l="1"/>
  <c r="Q171" i="5" s="1"/>
  <c r="V171" i="5"/>
  <c r="W171" i="5" s="1"/>
  <c r="S171" i="5"/>
  <c r="T171" i="5" s="1"/>
  <c r="AN142" i="5" l="1"/>
  <c r="AO142" i="5" s="1"/>
  <c r="AN141" i="5"/>
  <c r="AO141" i="5" s="1"/>
  <c r="AN140" i="5"/>
  <c r="AO140" i="5" s="1"/>
  <c r="AN133" i="5"/>
  <c r="AO133" i="5" s="1"/>
  <c r="AN149" i="5"/>
  <c r="AO149" i="5" s="1"/>
  <c r="AN167" i="5"/>
  <c r="AO167" i="5" s="1"/>
  <c r="AN189" i="5"/>
  <c r="AO189" i="5" s="1"/>
  <c r="AN194" i="5"/>
  <c r="AO194" i="5" s="1"/>
  <c r="AN196" i="5"/>
  <c r="AO196" i="5" s="1"/>
  <c r="AN198" i="5"/>
  <c r="AO198" i="5" s="1"/>
  <c r="AN201" i="5"/>
  <c r="AO201" i="5" s="1"/>
  <c r="AN208" i="5"/>
  <c r="AO208" i="5" s="1"/>
  <c r="AN217" i="5"/>
  <c r="AO217" i="5" s="1"/>
  <c r="P217" i="5"/>
  <c r="Q217" i="5" s="1"/>
  <c r="V217" i="5"/>
  <c r="W217" i="5" s="1"/>
  <c r="S217" i="5"/>
  <c r="T217" i="5" s="1"/>
  <c r="AN14" i="5" l="1"/>
  <c r="AO14" i="5" s="1"/>
  <c r="AN123" i="5"/>
  <c r="AO123" i="5" s="1"/>
  <c r="AN125" i="5"/>
  <c r="AO125" i="5" s="1"/>
  <c r="AN126" i="5"/>
  <c r="AO126" i="5" s="1"/>
  <c r="AN127" i="5"/>
  <c r="AO127" i="5" s="1"/>
  <c r="AN128" i="5"/>
  <c r="AO128" i="5" s="1"/>
  <c r="AN129" i="5"/>
  <c r="AO129" i="5" s="1"/>
  <c r="AN130" i="5"/>
  <c r="AO130" i="5" s="1"/>
  <c r="AN131" i="5"/>
  <c r="AO131" i="5" s="1"/>
  <c r="AN132" i="5"/>
  <c r="AO132" i="5" s="1"/>
  <c r="AN124" i="5"/>
  <c r="AO124" i="5" s="1"/>
  <c r="AN120" i="5"/>
  <c r="AO120" i="5" s="1"/>
  <c r="AN121" i="5"/>
  <c r="AO121" i="5" s="1"/>
  <c r="AN122" i="5"/>
  <c r="AO122" i="5" s="1"/>
  <c r="AN113" i="5"/>
  <c r="AO113" i="5" s="1"/>
  <c r="AN117" i="5"/>
  <c r="AO117" i="5" s="1"/>
  <c r="AN118" i="5"/>
  <c r="AO118" i="5" s="1"/>
  <c r="AN107" i="5"/>
  <c r="AO107" i="5" s="1"/>
  <c r="AN109" i="5"/>
  <c r="AO109" i="5" s="1"/>
  <c r="AN110" i="5"/>
  <c r="AO110" i="5" s="1"/>
  <c r="AN111" i="5"/>
  <c r="AO111" i="5" s="1"/>
  <c r="AN112" i="5"/>
  <c r="AO112" i="5" s="1"/>
  <c r="AN98" i="5"/>
  <c r="AO98" i="5" s="1"/>
  <c r="AN99" i="5"/>
  <c r="AO99" i="5" s="1"/>
  <c r="AN100" i="5"/>
  <c r="AO100" i="5" s="1"/>
  <c r="AN101" i="5"/>
  <c r="AO101" i="5" s="1"/>
  <c r="AN102" i="5"/>
  <c r="AO102" i="5" s="1"/>
  <c r="AN103" i="5"/>
  <c r="AO103" i="5" s="1"/>
  <c r="AN104" i="5"/>
  <c r="AO104" i="5" s="1"/>
  <c r="AN105" i="5"/>
  <c r="AO105" i="5" s="1"/>
  <c r="AN106" i="5"/>
  <c r="AO106" i="5" s="1"/>
  <c r="AN93" i="5"/>
  <c r="AO93" i="5" s="1"/>
  <c r="AN94" i="5"/>
  <c r="AO94" i="5" s="1"/>
  <c r="AN95" i="5"/>
  <c r="AO95" i="5" s="1"/>
  <c r="AN96" i="5"/>
  <c r="AO96" i="5" s="1"/>
  <c r="AN97" i="5"/>
  <c r="AO97" i="5" s="1"/>
  <c r="AN92" i="5"/>
  <c r="AO92" i="5" s="1"/>
  <c r="AN89" i="5"/>
  <c r="AO89" i="5" s="1"/>
  <c r="AN90" i="5"/>
  <c r="AO90" i="5" s="1"/>
  <c r="AN91" i="5"/>
  <c r="AO91" i="5" s="1"/>
  <c r="AN88" i="5"/>
  <c r="AO88" i="5" s="1"/>
  <c r="AN85" i="5"/>
  <c r="AO85" i="5" s="1"/>
  <c r="AN86" i="5"/>
  <c r="AO86" i="5" s="1"/>
  <c r="AN87" i="5"/>
  <c r="AO87" i="5" s="1"/>
  <c r="AN81" i="5"/>
  <c r="AO81" i="5" s="1"/>
  <c r="AN82" i="5"/>
  <c r="AO82" i="5" s="1"/>
  <c r="AN83" i="5"/>
  <c r="AO83" i="5" s="1"/>
  <c r="AN84" i="5"/>
  <c r="AO84" i="5" s="1"/>
  <c r="AN80" i="5"/>
  <c r="AO80" i="5" s="1"/>
  <c r="AN68" i="5"/>
  <c r="AO68" i="5" s="1"/>
  <c r="AN69" i="5"/>
  <c r="AO69" i="5" s="1"/>
  <c r="AN70" i="5"/>
  <c r="AO70" i="5" s="1"/>
  <c r="AN71" i="5"/>
  <c r="AO71" i="5" s="1"/>
  <c r="AN72" i="5"/>
  <c r="AO72" i="5" s="1"/>
  <c r="AN73" i="5"/>
  <c r="AO73" i="5" s="1"/>
  <c r="AN74" i="5"/>
  <c r="AO74" i="5" s="1"/>
  <c r="AN75" i="5"/>
  <c r="AO75" i="5" s="1"/>
  <c r="AN76" i="5"/>
  <c r="AO76" i="5" s="1"/>
  <c r="AN77" i="5"/>
  <c r="AO77" i="5" s="1"/>
  <c r="AN78" i="5"/>
  <c r="AO78" i="5" s="1"/>
  <c r="AN79" i="5"/>
  <c r="AO79" i="5" s="1"/>
  <c r="AN61" i="5" l="1"/>
  <c r="AO61" i="5" s="1"/>
  <c r="AN62" i="5"/>
  <c r="AO62" i="5" s="1"/>
  <c r="AN63" i="5"/>
  <c r="AO63" i="5" s="1"/>
  <c r="AN64" i="5"/>
  <c r="AO64" i="5" s="1"/>
  <c r="AN65" i="5"/>
  <c r="AO65" i="5" s="1"/>
  <c r="AN66" i="5"/>
  <c r="AO66" i="5" s="1"/>
  <c r="AN67" i="5"/>
  <c r="AO67" i="5" s="1"/>
  <c r="AN54" i="5"/>
  <c r="AO54" i="5" s="1"/>
  <c r="AN55" i="5"/>
  <c r="AO55" i="5" s="1"/>
  <c r="AN56" i="5"/>
  <c r="AO56" i="5" s="1"/>
  <c r="AN57" i="5"/>
  <c r="AO57" i="5" s="1"/>
  <c r="AN58" i="5"/>
  <c r="AO58" i="5" s="1"/>
  <c r="AN59" i="5"/>
  <c r="AO59" i="5" s="1"/>
  <c r="AN60" i="5"/>
  <c r="AO60" i="5" s="1"/>
  <c r="AN50" i="5"/>
  <c r="AO50" i="5" s="1"/>
  <c r="AN51" i="5"/>
  <c r="AO51" i="5" s="1"/>
  <c r="AN52" i="5"/>
  <c r="AO52" i="5" s="1"/>
  <c r="AN53" i="5"/>
  <c r="AO53" i="5" s="1"/>
  <c r="AN42" i="5"/>
  <c r="AO42" i="5" s="1"/>
  <c r="AN43" i="5"/>
  <c r="AO43" i="5" s="1"/>
  <c r="AN44" i="5"/>
  <c r="AO44" i="5" s="1"/>
  <c r="AN45" i="5"/>
  <c r="AO45" i="5" s="1"/>
  <c r="AN46" i="5"/>
  <c r="AO46" i="5" s="1"/>
  <c r="AN47" i="5"/>
  <c r="AO47" i="5" s="1"/>
  <c r="AN48" i="5"/>
  <c r="AO48" i="5" s="1"/>
  <c r="AN49" i="5"/>
  <c r="AO49" i="5" s="1"/>
  <c r="AN41" i="5"/>
  <c r="AO41" i="5" s="1"/>
  <c r="AN40" i="5"/>
  <c r="AO40" i="5" s="1"/>
  <c r="AN38" i="5"/>
  <c r="AO38" i="5" s="1"/>
  <c r="AN39" i="5"/>
  <c r="AO39" i="5" s="1"/>
  <c r="AN28" i="5"/>
  <c r="AO28" i="5" s="1"/>
  <c r="AN29" i="5"/>
  <c r="AO29" i="5" s="1"/>
  <c r="AN30" i="5"/>
  <c r="AO30" i="5" s="1"/>
  <c r="AN31" i="5"/>
  <c r="AO31" i="5" s="1"/>
  <c r="AN32" i="5"/>
  <c r="AO32" i="5" s="1"/>
  <c r="AN34" i="5"/>
  <c r="AO34" i="5" s="1"/>
  <c r="AN35" i="5"/>
  <c r="AO35" i="5" s="1"/>
  <c r="AN36" i="5"/>
  <c r="AO36" i="5" s="1"/>
  <c r="AN37" i="5"/>
  <c r="AO37" i="5" s="1"/>
  <c r="AN25" i="5"/>
  <c r="AO25" i="5" s="1"/>
  <c r="AN26" i="5"/>
  <c r="AO26" i="5" s="1"/>
  <c r="AN27" i="5"/>
  <c r="AO27" i="5" s="1"/>
  <c r="AN24" i="5"/>
  <c r="AO24" i="5" s="1"/>
  <c r="AN15" i="5"/>
  <c r="AO15" i="5" s="1"/>
  <c r="AN16" i="5"/>
  <c r="AO16" i="5" s="1"/>
  <c r="AN17" i="5"/>
  <c r="AO17" i="5" s="1"/>
  <c r="AN18" i="5"/>
  <c r="AO18" i="5" s="1"/>
  <c r="AN19" i="5"/>
  <c r="AO19" i="5" s="1"/>
  <c r="AN20" i="5"/>
  <c r="AO20" i="5" s="1"/>
  <c r="AN21" i="5"/>
  <c r="AO21" i="5" s="1"/>
  <c r="AN22" i="5"/>
  <c r="AO22" i="5" s="1"/>
  <c r="AN23" i="5"/>
  <c r="AO23" i="5" s="1"/>
  <c r="AN10" i="5"/>
  <c r="AO10" i="5" s="1"/>
  <c r="AN11" i="5"/>
  <c r="AO11" i="5" s="1"/>
  <c r="AN12" i="5"/>
  <c r="AO12" i="5" s="1"/>
  <c r="AN13" i="5"/>
  <c r="AO13" i="5" s="1"/>
  <c r="AN4" i="5"/>
  <c r="AO4" i="5" s="1"/>
  <c r="AN5" i="5"/>
  <c r="AO5" i="5" s="1"/>
  <c r="AN6" i="5"/>
  <c r="AO6" i="5" s="1"/>
  <c r="AN7" i="5"/>
  <c r="AO7" i="5" s="1"/>
  <c r="AN8" i="5"/>
  <c r="AO8" i="5" s="1"/>
  <c r="AN9" i="5"/>
  <c r="AO9" i="5" s="1"/>
  <c r="AN3" i="5"/>
  <c r="AO3" i="5" s="1"/>
  <c r="P216" i="5" l="1"/>
  <c r="Q216" i="5" s="1"/>
  <c r="V216" i="5"/>
  <c r="W216" i="5" s="1"/>
  <c r="S216" i="5"/>
  <c r="T216" i="5" s="1"/>
  <c r="P215" i="5" l="1"/>
  <c r="Q215" i="5" s="1"/>
  <c r="V215" i="5"/>
  <c r="W215" i="5" s="1"/>
  <c r="S215" i="5"/>
  <c r="T215" i="5" s="1"/>
  <c r="P214" i="5" l="1"/>
  <c r="Q214" i="5" s="1"/>
  <c r="V214" i="5"/>
  <c r="W214" i="5" s="1"/>
  <c r="S214" i="5"/>
  <c r="T214" i="5" s="1"/>
  <c r="P213" i="5" l="1"/>
  <c r="Q213" i="5" s="1"/>
  <c r="V213" i="5"/>
  <c r="W213" i="5" s="1"/>
  <c r="S213" i="5"/>
  <c r="T213" i="5" s="1"/>
  <c r="P212" i="5" l="1"/>
  <c r="Q212" i="5" s="1"/>
  <c r="V212" i="5"/>
  <c r="W212" i="5" s="1"/>
  <c r="S212" i="5"/>
  <c r="T212" i="5" s="1"/>
  <c r="P211" i="5"/>
  <c r="Q211" i="5" s="1"/>
  <c r="V211" i="5"/>
  <c r="W211" i="5" s="1"/>
  <c r="S211" i="5"/>
  <c r="T211" i="5" s="1"/>
  <c r="P89" i="5"/>
  <c r="Q89" i="5" s="1"/>
  <c r="V89" i="5"/>
  <c r="W89" i="5" s="1"/>
  <c r="S89" i="5"/>
  <c r="T89" i="5" s="1"/>
  <c r="P210" i="5" l="1"/>
  <c r="Q210" i="5" s="1"/>
  <c r="V210" i="5"/>
  <c r="W210" i="5" s="1"/>
  <c r="S210" i="5"/>
  <c r="T210" i="5" s="1"/>
  <c r="P205" i="5" l="1"/>
  <c r="Q205" i="5" s="1"/>
  <c r="P206" i="5"/>
  <c r="Q206" i="5" s="1"/>
  <c r="P207" i="5"/>
  <c r="Q207" i="5" s="1"/>
  <c r="P208" i="5"/>
  <c r="Q208" i="5" s="1"/>
  <c r="P209" i="5"/>
  <c r="Q209" i="5" s="1"/>
  <c r="V209" i="5"/>
  <c r="W209" i="5" s="1"/>
  <c r="S209" i="5"/>
  <c r="T209" i="5" s="1"/>
  <c r="P177" i="5" l="1"/>
  <c r="Q177" i="5" s="1"/>
  <c r="V177" i="5"/>
  <c r="W177" i="5" s="1"/>
  <c r="S177" i="5"/>
  <c r="T177" i="5" s="1"/>
  <c r="V208" i="5" l="1"/>
  <c r="W208" i="5" s="1"/>
  <c r="S208" i="5"/>
  <c r="T208" i="5" s="1"/>
  <c r="V207" i="5" l="1"/>
  <c r="W207" i="5" s="1"/>
  <c r="S207" i="5"/>
  <c r="T207" i="5" s="1"/>
  <c r="V206" i="5"/>
  <c r="W206" i="5" s="1"/>
  <c r="S206" i="5"/>
  <c r="T206" i="5" s="1"/>
  <c r="V24" i="5" l="1"/>
  <c r="V205" i="5"/>
  <c r="W205" i="5" s="1"/>
  <c r="S205" i="5"/>
  <c r="T205" i="5" s="1"/>
  <c r="P204" i="5" l="1"/>
  <c r="Q204" i="5" s="1"/>
  <c r="V204" i="5"/>
  <c r="W204" i="5" s="1"/>
  <c r="S204" i="5"/>
  <c r="T204" i="5" s="1"/>
  <c r="P203" i="5" l="1"/>
  <c r="Q203" i="5" s="1"/>
  <c r="V203" i="5"/>
  <c r="W203" i="5" s="1"/>
  <c r="S203" i="5"/>
  <c r="T203" i="5" s="1"/>
  <c r="P202" i="5" l="1"/>
  <c r="Q202" i="5" s="1"/>
  <c r="V202" i="5"/>
  <c r="W202" i="5" s="1"/>
  <c r="S202" i="5"/>
  <c r="T202" i="5" s="1"/>
  <c r="P201" i="5" l="1"/>
  <c r="Q201" i="5" s="1"/>
  <c r="V201" i="5"/>
  <c r="W201" i="5" s="1"/>
  <c r="S201" i="5"/>
  <c r="T201" i="5" s="1"/>
  <c r="P199" i="5" l="1"/>
  <c r="Q199" i="5" s="1"/>
  <c r="V199" i="5"/>
  <c r="W199" i="5" s="1"/>
  <c r="S199" i="5"/>
  <c r="T199" i="5" s="1"/>
  <c r="P198" i="5" l="1"/>
  <c r="Q198" i="5" s="1"/>
  <c r="P197" i="5"/>
  <c r="Q197" i="5" s="1"/>
  <c r="P196" i="5"/>
  <c r="Q196" i="5" s="1"/>
  <c r="V198" i="5"/>
  <c r="W198" i="5" s="1"/>
  <c r="S198" i="5"/>
  <c r="T198" i="5" s="1"/>
  <c r="V197" i="5" l="1"/>
  <c r="W197" i="5" s="1"/>
  <c r="S197" i="5"/>
  <c r="T197" i="5" s="1"/>
  <c r="V196" i="5" l="1"/>
  <c r="W196" i="5" s="1"/>
  <c r="S196" i="5"/>
  <c r="T196" i="5" s="1"/>
  <c r="P192" i="5"/>
  <c r="Q192" i="5" s="1"/>
  <c r="P193" i="5"/>
  <c r="Q193" i="5" s="1"/>
  <c r="P194" i="5"/>
  <c r="Q194" i="5" s="1"/>
  <c r="P189" i="5"/>
  <c r="Q189" i="5" s="1"/>
  <c r="V189" i="5"/>
  <c r="W189" i="5" s="1"/>
  <c r="S189" i="5"/>
  <c r="T189" i="5" s="1"/>
  <c r="V113" i="5" l="1"/>
  <c r="W113" i="5" s="1"/>
  <c r="S113" i="5"/>
  <c r="T113" i="5" s="1"/>
  <c r="V193" i="5" l="1"/>
  <c r="W193" i="5" s="1"/>
  <c r="S193" i="5"/>
  <c r="T193" i="5" s="1"/>
  <c r="V192" i="5" l="1"/>
  <c r="W192" i="5" s="1"/>
  <c r="S192" i="5"/>
  <c r="T192" i="5" s="1"/>
  <c r="P191" i="5" l="1"/>
  <c r="Q191" i="5" s="1"/>
  <c r="P124" i="5"/>
  <c r="Q124" i="5" s="1"/>
  <c r="Q156" i="5"/>
  <c r="V191" i="5"/>
  <c r="W191" i="5" s="1"/>
  <c r="S191" i="5"/>
  <c r="T191" i="5" s="1"/>
  <c r="P188" i="5" l="1"/>
  <c r="Q188" i="5" s="1"/>
  <c r="V188" i="5"/>
  <c r="W188" i="5" s="1"/>
  <c r="S188" i="5"/>
  <c r="T188" i="5" s="1"/>
  <c r="V187" i="5" l="1"/>
  <c r="W187" i="5" s="1"/>
  <c r="P187" i="5"/>
  <c r="Q187" i="5" s="1"/>
  <c r="S187" i="5"/>
  <c r="T187" i="5" s="1"/>
  <c r="P186" i="5" l="1"/>
  <c r="Q186" i="5" s="1"/>
  <c r="V186" i="5"/>
  <c r="W186" i="5" s="1"/>
  <c r="S186" i="5"/>
  <c r="T186" i="5" s="1"/>
  <c r="V185" i="5"/>
  <c r="W185" i="5" s="1"/>
  <c r="S185" i="5"/>
  <c r="T185" i="5" s="1"/>
  <c r="P185" i="5"/>
  <c r="Q185" i="5" s="1"/>
  <c r="P184" i="5"/>
  <c r="Q184" i="5" s="1"/>
  <c r="V184" i="5"/>
  <c r="W184" i="5" s="1"/>
  <c r="S184" i="5"/>
  <c r="T184" i="5" s="1"/>
  <c r="P183" i="5" l="1"/>
  <c r="Q183" i="5" s="1"/>
  <c r="V183" i="5"/>
  <c r="W183" i="5" s="1"/>
  <c r="S183" i="5"/>
  <c r="T183" i="5" s="1"/>
  <c r="V182" i="5" l="1"/>
  <c r="W182" i="5" s="1"/>
  <c r="S182" i="5"/>
  <c r="T182" i="5" s="1"/>
  <c r="P182" i="5"/>
  <c r="Q182" i="5" s="1"/>
  <c r="P181" i="5"/>
  <c r="Q181" i="5" s="1"/>
  <c r="V181" i="5"/>
  <c r="W181" i="5" s="1"/>
  <c r="S181" i="5"/>
  <c r="T181" i="5" s="1"/>
  <c r="P180" i="5" l="1"/>
  <c r="Q180" i="5" s="1"/>
  <c r="S180" i="5"/>
  <c r="T180" i="5" s="1"/>
  <c r="V180" i="5"/>
  <c r="W180" i="5" s="1"/>
  <c r="V179" i="5"/>
  <c r="W179" i="5" s="1"/>
  <c r="P179" i="5"/>
  <c r="Q179" i="5" s="1"/>
  <c r="S179" i="5"/>
  <c r="T179" i="5" s="1"/>
  <c r="V178" i="5"/>
  <c r="W178" i="5" s="1"/>
  <c r="S178" i="5"/>
  <c r="T178" i="5" s="1"/>
  <c r="P178" i="5"/>
  <c r="Q178" i="5" s="1"/>
  <c r="V176" i="5" l="1"/>
  <c r="W176" i="5" s="1"/>
  <c r="P176" i="5"/>
  <c r="Q176" i="5" s="1"/>
  <c r="S176" i="5"/>
  <c r="T176" i="5" s="1"/>
  <c r="M175" i="5" l="1"/>
  <c r="N175" i="5" s="1"/>
  <c r="M174" i="5"/>
  <c r="N174" i="5" s="1"/>
  <c r="J175" i="5"/>
  <c r="K175" i="5" s="1"/>
  <c r="J174" i="5"/>
  <c r="K174" i="5" s="1"/>
  <c r="V175" i="5"/>
  <c r="W175" i="5" s="1"/>
  <c r="P175" i="5"/>
  <c r="Q175" i="5" s="1"/>
  <c r="S175" i="5"/>
  <c r="T175" i="5" s="1"/>
  <c r="P174" i="5" l="1"/>
  <c r="Q174" i="5" s="1"/>
  <c r="V174" i="5"/>
  <c r="W174" i="5" s="1"/>
  <c r="S174" i="5"/>
  <c r="T174" i="5" s="1"/>
  <c r="V124" i="5" l="1"/>
  <c r="W124" i="5" s="1"/>
  <c r="S124" i="5"/>
  <c r="T124" i="5" s="1"/>
  <c r="V156" i="5" l="1"/>
  <c r="W156" i="5" s="1"/>
  <c r="S156" i="5"/>
  <c r="T156" i="5" s="1"/>
  <c r="V21" i="5" l="1"/>
  <c r="W21" i="5" s="1"/>
  <c r="V112" i="5"/>
  <c r="W112" i="5" s="1"/>
  <c r="S21" i="5"/>
  <c r="T21" i="5" s="1"/>
  <c r="S112" i="5"/>
  <c r="T112" i="5" s="1"/>
  <c r="P21" i="5"/>
  <c r="Q21" i="5" s="1"/>
  <c r="P112" i="5"/>
  <c r="Q112" i="5" s="1"/>
  <c r="M21" i="5"/>
  <c r="N21" i="5" s="1"/>
  <c r="M112" i="5"/>
  <c r="N112" i="5" s="1"/>
  <c r="M68" i="5"/>
  <c r="N68" i="5" s="1"/>
  <c r="J21" i="5"/>
  <c r="K21" i="5" s="1"/>
  <c r="J112" i="5"/>
  <c r="K112" i="5" s="1"/>
  <c r="AK194" i="5"/>
  <c r="AL194" i="5" s="1"/>
  <c r="V68" i="5"/>
  <c r="W68" i="5" s="1"/>
  <c r="S68" i="5"/>
  <c r="T68" i="5" s="1"/>
  <c r="P68" i="5"/>
  <c r="Q68" i="5" s="1"/>
  <c r="AK85" i="5"/>
  <c r="AL85" i="5" s="1"/>
  <c r="V85" i="5"/>
  <c r="W85" i="5" s="1"/>
  <c r="S85" i="5"/>
  <c r="T85" i="5" s="1"/>
  <c r="P85" i="5"/>
  <c r="Q85" i="5" s="1"/>
  <c r="M85" i="5"/>
  <c r="N85" i="5" s="1"/>
  <c r="J85" i="5"/>
  <c r="K85" i="5" s="1"/>
  <c r="AK99" i="5"/>
  <c r="AL99" i="5" s="1"/>
  <c r="V99" i="5"/>
  <c r="W99" i="5" s="1"/>
  <c r="S99" i="5"/>
  <c r="T99" i="5" s="1"/>
  <c r="P99" i="5"/>
  <c r="Q99" i="5" s="1"/>
  <c r="M99" i="5"/>
  <c r="N99" i="5" s="1"/>
  <c r="J99" i="5"/>
  <c r="K99" i="5" s="1"/>
  <c r="AK55" i="5"/>
  <c r="AL55" i="5" s="1"/>
  <c r="V55" i="5"/>
  <c r="W55" i="5" s="1"/>
  <c r="S55" i="5"/>
  <c r="T55" i="5" s="1"/>
  <c r="P55" i="5"/>
  <c r="Q55" i="5" s="1"/>
  <c r="M55" i="5"/>
  <c r="N55" i="5" s="1"/>
  <c r="J55" i="5"/>
  <c r="K55" i="5" s="1"/>
  <c r="AK160" i="5"/>
  <c r="AL160" i="5" s="1"/>
  <c r="V160" i="5"/>
  <c r="W160" i="5" s="1"/>
  <c r="S160" i="5"/>
  <c r="T160" i="5" s="1"/>
  <c r="P160" i="5"/>
  <c r="Q160" i="5" s="1"/>
  <c r="M160" i="5"/>
  <c r="N160" i="5" s="1"/>
  <c r="J160" i="5"/>
  <c r="K160" i="5" s="1"/>
  <c r="AK158" i="5"/>
  <c r="AL158" i="5" s="1"/>
  <c r="V158" i="5"/>
  <c r="W158" i="5" s="1"/>
  <c r="S158" i="5"/>
  <c r="T158" i="5" s="1"/>
  <c r="P158" i="5"/>
  <c r="Q158" i="5" s="1"/>
  <c r="M158" i="5"/>
  <c r="N158" i="5" s="1"/>
  <c r="J158" i="5"/>
  <c r="K158" i="5" s="1"/>
  <c r="AK106" i="5"/>
  <c r="AL106" i="5" s="1"/>
  <c r="V106" i="5"/>
  <c r="W106" i="5" s="1"/>
  <c r="S106" i="5"/>
  <c r="T106" i="5" s="1"/>
  <c r="P106" i="5"/>
  <c r="Q106" i="5" s="1"/>
  <c r="M106" i="5"/>
  <c r="N106" i="5" s="1"/>
  <c r="J106" i="5"/>
  <c r="K106" i="5" s="1"/>
  <c r="AK63" i="5"/>
  <c r="AL63" i="5" s="1"/>
  <c r="V63" i="5"/>
  <c r="W63" i="5" s="1"/>
  <c r="S63" i="5"/>
  <c r="T63" i="5" s="1"/>
  <c r="P63" i="5"/>
  <c r="Q63" i="5" s="1"/>
  <c r="M63" i="5"/>
  <c r="N63" i="5" s="1"/>
  <c r="J63" i="5"/>
  <c r="K63" i="5" s="1"/>
  <c r="AK37" i="5"/>
  <c r="AL37" i="5" s="1"/>
  <c r="V37" i="5"/>
  <c r="W37" i="5" s="1"/>
  <c r="S37" i="5"/>
  <c r="T37" i="5" s="1"/>
  <c r="P37" i="5"/>
  <c r="Q37" i="5" s="1"/>
  <c r="J37" i="5"/>
  <c r="K37" i="5" s="1"/>
  <c r="AK104" i="5"/>
  <c r="AL104" i="5" s="1"/>
  <c r="V104" i="5"/>
  <c r="W104" i="5" s="1"/>
  <c r="S104" i="5"/>
  <c r="T104" i="5" s="1"/>
  <c r="P104" i="5"/>
  <c r="Q104" i="5" s="1"/>
  <c r="M104" i="5"/>
  <c r="N104" i="5" s="1"/>
  <c r="J104" i="5"/>
  <c r="K104" i="5" s="1"/>
  <c r="AK103" i="5"/>
  <c r="AL103" i="5" s="1"/>
  <c r="V103" i="5"/>
  <c r="W103" i="5" s="1"/>
  <c r="S103" i="5"/>
  <c r="T103" i="5" s="1"/>
  <c r="P103" i="5"/>
  <c r="Q103" i="5" s="1"/>
  <c r="M103" i="5"/>
  <c r="N103" i="5" s="1"/>
  <c r="J103" i="5"/>
  <c r="K103" i="5" s="1"/>
  <c r="AK143" i="5"/>
  <c r="AL143" i="5" s="1"/>
  <c r="V143" i="5"/>
  <c r="W143" i="5" s="1"/>
  <c r="S143" i="5"/>
  <c r="T143" i="5" s="1"/>
  <c r="P143" i="5"/>
  <c r="Q143" i="5" s="1"/>
  <c r="M143" i="5"/>
  <c r="N143" i="5" s="1"/>
  <c r="J143" i="5"/>
  <c r="K143" i="5" s="1"/>
  <c r="AK142" i="5"/>
  <c r="AL142" i="5" s="1"/>
  <c r="V142" i="5"/>
  <c r="W142" i="5" s="1"/>
  <c r="S142" i="5"/>
  <c r="T142" i="5" s="1"/>
  <c r="P142" i="5"/>
  <c r="Q142" i="5" s="1"/>
  <c r="M142" i="5"/>
  <c r="N142" i="5" s="1"/>
  <c r="J142" i="5"/>
  <c r="K142" i="5" s="1"/>
  <c r="AK45" i="5"/>
  <c r="AL45" i="5" s="1"/>
  <c r="V45" i="5"/>
  <c r="W45" i="5" s="1"/>
  <c r="S45" i="5"/>
  <c r="T45" i="5" s="1"/>
  <c r="P45" i="5"/>
  <c r="Q45" i="5" s="1"/>
  <c r="J45" i="5"/>
  <c r="K45" i="5" s="1"/>
  <c r="AK87" i="5"/>
  <c r="AL87" i="5" s="1"/>
  <c r="V87" i="5"/>
  <c r="W87" i="5" s="1"/>
  <c r="S87" i="5"/>
  <c r="T87" i="5" s="1"/>
  <c r="Q87" i="5"/>
  <c r="M87" i="5"/>
  <c r="N87" i="5" s="1"/>
  <c r="J87" i="5"/>
  <c r="K87" i="5" s="1"/>
  <c r="AK130" i="5"/>
  <c r="AL130" i="5" s="1"/>
  <c r="V130" i="5"/>
  <c r="W130" i="5" s="1"/>
  <c r="S130" i="5"/>
  <c r="T130" i="5" s="1"/>
  <c r="P130" i="5"/>
  <c r="Q130" i="5" s="1"/>
  <c r="M130" i="5"/>
  <c r="N130" i="5" s="1"/>
  <c r="J130" i="5"/>
  <c r="K130" i="5" s="1"/>
  <c r="AK40" i="5"/>
  <c r="AL40" i="5" s="1"/>
  <c r="V40" i="5"/>
  <c r="W40" i="5" s="1"/>
  <c r="S40" i="5"/>
  <c r="T40" i="5" s="1"/>
  <c r="P40" i="5"/>
  <c r="Q40" i="5" s="1"/>
  <c r="M40" i="5"/>
  <c r="N40" i="5" s="1"/>
  <c r="J40" i="5"/>
  <c r="K40" i="5" s="1"/>
  <c r="AK145" i="5"/>
  <c r="AL145" i="5" s="1"/>
  <c r="V145" i="5"/>
  <c r="W145" i="5" s="1"/>
  <c r="S145" i="5"/>
  <c r="T145" i="5" s="1"/>
  <c r="P145" i="5"/>
  <c r="Q145" i="5" s="1"/>
  <c r="M145" i="5"/>
  <c r="N145" i="5" s="1"/>
  <c r="J145" i="5"/>
  <c r="K145" i="5" s="1"/>
  <c r="AK27" i="5"/>
  <c r="AL27" i="5" s="1"/>
  <c r="V27" i="5"/>
  <c r="W27" i="5" s="1"/>
  <c r="S27" i="5"/>
  <c r="T27" i="5" s="1"/>
  <c r="P27" i="5"/>
  <c r="Q27" i="5" s="1"/>
  <c r="M27" i="5"/>
  <c r="N27" i="5" s="1"/>
  <c r="J27" i="5"/>
  <c r="K27" i="5" s="1"/>
  <c r="AK173" i="5"/>
  <c r="AL173" i="5" s="1"/>
  <c r="V173" i="5"/>
  <c r="W173" i="5" s="1"/>
  <c r="S173" i="5"/>
  <c r="T173" i="5" s="1"/>
  <c r="P173" i="5"/>
  <c r="Q173" i="5" s="1"/>
  <c r="M173" i="5"/>
  <c r="N173" i="5" s="1"/>
  <c r="J173" i="5"/>
  <c r="K173" i="5" s="1"/>
  <c r="AK122" i="5"/>
  <c r="AL122" i="5" s="1"/>
  <c r="V122" i="5"/>
  <c r="W122" i="5" s="1"/>
  <c r="S122" i="5"/>
  <c r="T122" i="5" s="1"/>
  <c r="P122" i="5"/>
  <c r="Q122" i="5" s="1"/>
  <c r="M122" i="5"/>
  <c r="N122" i="5" s="1"/>
  <c r="J122" i="5"/>
  <c r="K122" i="5" s="1"/>
  <c r="AK170" i="5"/>
  <c r="AL170" i="5" s="1"/>
  <c r="V170" i="5"/>
  <c r="W170" i="5" s="1"/>
  <c r="S170" i="5"/>
  <c r="T170" i="5" s="1"/>
  <c r="P170" i="5"/>
  <c r="Q170" i="5" s="1"/>
  <c r="M170" i="5"/>
  <c r="N170" i="5" s="1"/>
  <c r="J170" i="5"/>
  <c r="K170" i="5" s="1"/>
  <c r="AK96" i="5"/>
  <c r="AL96" i="5" s="1"/>
  <c r="V96" i="5"/>
  <c r="W96" i="5" s="1"/>
  <c r="S96" i="5"/>
  <c r="T96" i="5" s="1"/>
  <c r="P96" i="5"/>
  <c r="Q96" i="5" s="1"/>
  <c r="M96" i="5"/>
  <c r="N96" i="5" s="1"/>
  <c r="J96" i="5"/>
  <c r="K96" i="5" s="1"/>
  <c r="AK19" i="5"/>
  <c r="AL19" i="5" s="1"/>
  <c r="V19" i="5"/>
  <c r="W19" i="5" s="1"/>
  <c r="S19" i="5"/>
  <c r="T19" i="5" s="1"/>
  <c r="Q19" i="5"/>
  <c r="M19" i="5"/>
  <c r="N19" i="5" s="1"/>
  <c r="J19" i="5"/>
  <c r="K19" i="5" s="1"/>
  <c r="AK147" i="5"/>
  <c r="AL147" i="5" s="1"/>
  <c r="V147" i="5"/>
  <c r="W147" i="5" s="1"/>
  <c r="S147" i="5"/>
  <c r="T147" i="5" s="1"/>
  <c r="P147" i="5"/>
  <c r="Q147" i="5" s="1"/>
  <c r="M147" i="5"/>
  <c r="N147" i="5" s="1"/>
  <c r="J147" i="5"/>
  <c r="K147" i="5" s="1"/>
  <c r="AK172" i="5"/>
  <c r="AL172" i="5" s="1"/>
  <c r="V172" i="5"/>
  <c r="W172" i="5" s="1"/>
  <c r="S172" i="5"/>
  <c r="T172" i="5" s="1"/>
  <c r="P172" i="5"/>
  <c r="Q172" i="5" s="1"/>
  <c r="M172" i="5"/>
  <c r="N172" i="5" s="1"/>
  <c r="J172" i="5"/>
  <c r="K172" i="5" s="1"/>
  <c r="AK169" i="5"/>
  <c r="AL169" i="5" s="1"/>
  <c r="V169" i="5"/>
  <c r="W169" i="5" s="1"/>
  <c r="S169" i="5"/>
  <c r="T169" i="5" s="1"/>
  <c r="P169" i="5"/>
  <c r="Q169" i="5" s="1"/>
  <c r="M169" i="5"/>
  <c r="N169" i="5" s="1"/>
  <c r="J169" i="5"/>
  <c r="K169" i="5" s="1"/>
  <c r="AK168" i="5"/>
  <c r="AL168" i="5" s="1"/>
  <c r="V168" i="5"/>
  <c r="W168" i="5" s="1"/>
  <c r="S168" i="5"/>
  <c r="T168" i="5" s="1"/>
  <c r="P168" i="5"/>
  <c r="Q168" i="5" s="1"/>
  <c r="M168" i="5"/>
  <c r="N168" i="5" s="1"/>
  <c r="J168" i="5"/>
  <c r="K168" i="5" s="1"/>
  <c r="AK167" i="5"/>
  <c r="AL167" i="5" s="1"/>
  <c r="V167" i="5"/>
  <c r="W167" i="5" s="1"/>
  <c r="S167" i="5"/>
  <c r="T167" i="5" s="1"/>
  <c r="P167" i="5"/>
  <c r="Q167" i="5" s="1"/>
  <c r="M167" i="5"/>
  <c r="N167" i="5" s="1"/>
  <c r="J167" i="5"/>
  <c r="K167" i="5" s="1"/>
  <c r="AK164" i="5"/>
  <c r="AL164" i="5" s="1"/>
  <c r="V164" i="5"/>
  <c r="W164" i="5" s="1"/>
  <c r="S164" i="5"/>
  <c r="T164" i="5" s="1"/>
  <c r="P164" i="5"/>
  <c r="Q164" i="5" s="1"/>
  <c r="M164" i="5"/>
  <c r="N164" i="5" s="1"/>
  <c r="J164" i="5"/>
  <c r="K164" i="5" s="1"/>
  <c r="AK166" i="5"/>
  <c r="AL166" i="5" s="1"/>
  <c r="V166" i="5"/>
  <c r="W166" i="5" s="1"/>
  <c r="S166" i="5"/>
  <c r="T166" i="5" s="1"/>
  <c r="P166" i="5"/>
  <c r="Q166" i="5" s="1"/>
  <c r="M166" i="5"/>
  <c r="N166" i="5" s="1"/>
  <c r="J166" i="5"/>
  <c r="K166" i="5" s="1"/>
  <c r="AK163" i="5"/>
  <c r="AL163" i="5" s="1"/>
  <c r="V163" i="5"/>
  <c r="W163" i="5" s="1"/>
  <c r="S163" i="5"/>
  <c r="T163" i="5" s="1"/>
  <c r="P163" i="5"/>
  <c r="Q163" i="5" s="1"/>
  <c r="M163" i="5"/>
  <c r="N163" i="5" s="1"/>
  <c r="J163" i="5"/>
  <c r="K163" i="5" s="1"/>
  <c r="AK162" i="5"/>
  <c r="AL162" i="5" s="1"/>
  <c r="V162" i="5"/>
  <c r="W162" i="5" s="1"/>
  <c r="S162" i="5"/>
  <c r="T162" i="5" s="1"/>
  <c r="P162" i="5"/>
  <c r="Q162" i="5" s="1"/>
  <c r="M162" i="5"/>
  <c r="N162" i="5" s="1"/>
  <c r="J162" i="5"/>
  <c r="K162" i="5" s="1"/>
  <c r="AK159" i="5"/>
  <c r="AL159" i="5" s="1"/>
  <c r="V159" i="5"/>
  <c r="W159" i="5" s="1"/>
  <c r="S159" i="5"/>
  <c r="T159" i="5" s="1"/>
  <c r="P159" i="5"/>
  <c r="Q159" i="5" s="1"/>
  <c r="M159" i="5"/>
  <c r="N159" i="5" s="1"/>
  <c r="J159" i="5"/>
  <c r="K159" i="5" s="1"/>
  <c r="AK154" i="5"/>
  <c r="AL154" i="5" s="1"/>
  <c r="V154" i="5"/>
  <c r="W154" i="5" s="1"/>
  <c r="S154" i="5"/>
  <c r="T154" i="5" s="1"/>
  <c r="P154" i="5"/>
  <c r="Q154" i="5" s="1"/>
  <c r="M154" i="5"/>
  <c r="N154" i="5" s="1"/>
  <c r="J154" i="5"/>
  <c r="K154" i="5" s="1"/>
  <c r="AK153" i="5"/>
  <c r="AL153" i="5" s="1"/>
  <c r="V153" i="5"/>
  <c r="W153" i="5" s="1"/>
  <c r="S153" i="5"/>
  <c r="T153" i="5" s="1"/>
  <c r="P153" i="5"/>
  <c r="Q153" i="5" s="1"/>
  <c r="M153" i="5"/>
  <c r="N153" i="5" s="1"/>
  <c r="J153" i="5"/>
  <c r="K153" i="5" s="1"/>
  <c r="AK152" i="5"/>
  <c r="AL152" i="5" s="1"/>
  <c r="V152" i="5"/>
  <c r="W152" i="5" s="1"/>
  <c r="S152" i="5"/>
  <c r="T152" i="5" s="1"/>
  <c r="P152" i="5"/>
  <c r="Q152" i="5" s="1"/>
  <c r="M152" i="5"/>
  <c r="N152" i="5" s="1"/>
  <c r="J152" i="5"/>
  <c r="K152" i="5" s="1"/>
  <c r="AK150" i="5"/>
  <c r="AL150" i="5" s="1"/>
  <c r="V150" i="5"/>
  <c r="W150" i="5" s="1"/>
  <c r="S150" i="5"/>
  <c r="T150" i="5" s="1"/>
  <c r="P150" i="5"/>
  <c r="Q150" i="5" s="1"/>
  <c r="M150" i="5"/>
  <c r="N150" i="5" s="1"/>
  <c r="J150" i="5"/>
  <c r="K150" i="5" s="1"/>
  <c r="AK149" i="5"/>
  <c r="AL149" i="5" s="1"/>
  <c r="V149" i="5"/>
  <c r="W149" i="5" s="1"/>
  <c r="S149" i="5"/>
  <c r="T149" i="5" s="1"/>
  <c r="P149" i="5"/>
  <c r="Q149" i="5" s="1"/>
  <c r="M149" i="5"/>
  <c r="N149" i="5" s="1"/>
  <c r="J149" i="5"/>
  <c r="K149" i="5" s="1"/>
  <c r="AK148" i="5"/>
  <c r="AL148" i="5" s="1"/>
  <c r="V148" i="5"/>
  <c r="W148" i="5" s="1"/>
  <c r="S148" i="5"/>
  <c r="T148" i="5" s="1"/>
  <c r="P148" i="5"/>
  <c r="Q148" i="5" s="1"/>
  <c r="M148" i="5"/>
  <c r="N148" i="5" s="1"/>
  <c r="J148" i="5"/>
  <c r="K148" i="5" s="1"/>
  <c r="AK146" i="5"/>
  <c r="AL146" i="5" s="1"/>
  <c r="V146" i="5"/>
  <c r="W146" i="5" s="1"/>
  <c r="S146" i="5"/>
  <c r="T146" i="5" s="1"/>
  <c r="P146" i="5"/>
  <c r="Q146" i="5" s="1"/>
  <c r="M146" i="5"/>
  <c r="N146" i="5" s="1"/>
  <c r="J146" i="5"/>
  <c r="K146" i="5" s="1"/>
  <c r="AK144" i="5"/>
  <c r="AL144" i="5" s="1"/>
  <c r="V144" i="5"/>
  <c r="W144" i="5" s="1"/>
  <c r="S144" i="5"/>
  <c r="T144" i="5" s="1"/>
  <c r="P144" i="5"/>
  <c r="Q144" i="5" s="1"/>
  <c r="M144" i="5"/>
  <c r="N144" i="5" s="1"/>
  <c r="J144" i="5"/>
  <c r="K144" i="5" s="1"/>
  <c r="AK141" i="5"/>
  <c r="AL141" i="5" s="1"/>
  <c r="V141" i="5"/>
  <c r="W141" i="5" s="1"/>
  <c r="S141" i="5"/>
  <c r="T141" i="5" s="1"/>
  <c r="P141" i="5"/>
  <c r="Q141" i="5" s="1"/>
  <c r="M141" i="5"/>
  <c r="N141" i="5" s="1"/>
  <c r="J141" i="5"/>
  <c r="K141" i="5" s="1"/>
  <c r="AK140" i="5"/>
  <c r="AL140" i="5" s="1"/>
  <c r="V140" i="5"/>
  <c r="W140" i="5" s="1"/>
  <c r="S140" i="5"/>
  <c r="T140" i="5" s="1"/>
  <c r="P140" i="5"/>
  <c r="Q140" i="5" s="1"/>
  <c r="M140" i="5"/>
  <c r="N140" i="5" s="1"/>
  <c r="J140" i="5"/>
  <c r="K140" i="5" s="1"/>
  <c r="AK139" i="5"/>
  <c r="AL139" i="5" s="1"/>
  <c r="V139" i="5"/>
  <c r="W139" i="5" s="1"/>
  <c r="S139" i="5"/>
  <c r="T139" i="5" s="1"/>
  <c r="P139" i="5"/>
  <c r="Q139" i="5" s="1"/>
  <c r="M139" i="5"/>
  <c r="N139" i="5" s="1"/>
  <c r="J139" i="5"/>
  <c r="K139" i="5" s="1"/>
  <c r="AK136" i="5"/>
  <c r="AL136" i="5" s="1"/>
  <c r="V136" i="5"/>
  <c r="W136" i="5" s="1"/>
  <c r="S136" i="5"/>
  <c r="T136" i="5" s="1"/>
  <c r="P136" i="5"/>
  <c r="Q136" i="5" s="1"/>
  <c r="M136" i="5"/>
  <c r="N136" i="5" s="1"/>
  <c r="J136" i="5"/>
  <c r="K136" i="5" s="1"/>
  <c r="AK135" i="5"/>
  <c r="AL135" i="5" s="1"/>
  <c r="V135" i="5"/>
  <c r="W135" i="5" s="1"/>
  <c r="S135" i="5"/>
  <c r="T135" i="5" s="1"/>
  <c r="P135" i="5"/>
  <c r="Q135" i="5" s="1"/>
  <c r="M135" i="5"/>
  <c r="N135" i="5" s="1"/>
  <c r="J135" i="5"/>
  <c r="K135" i="5" s="1"/>
  <c r="AK134" i="5"/>
  <c r="AL134" i="5" s="1"/>
  <c r="V134" i="5"/>
  <c r="W134" i="5" s="1"/>
  <c r="S134" i="5"/>
  <c r="T134" i="5" s="1"/>
  <c r="P134" i="5"/>
  <c r="Q134" i="5" s="1"/>
  <c r="M134" i="5"/>
  <c r="N134" i="5" s="1"/>
  <c r="J134" i="5"/>
  <c r="K134" i="5" s="1"/>
  <c r="AK138" i="5"/>
  <c r="AL138" i="5" s="1"/>
  <c r="V138" i="5"/>
  <c r="W138" i="5" s="1"/>
  <c r="S138" i="5"/>
  <c r="T138" i="5" s="1"/>
  <c r="P138" i="5"/>
  <c r="Q138" i="5" s="1"/>
  <c r="N138" i="5"/>
  <c r="J138" i="5"/>
  <c r="K138" i="5" s="1"/>
  <c r="AW110" i="5"/>
  <c r="AK137" i="5"/>
  <c r="AL137" i="5" s="1"/>
  <c r="V137" i="5"/>
  <c r="W137" i="5" s="1"/>
  <c r="S137" i="5"/>
  <c r="T137" i="5" s="1"/>
  <c r="P137" i="5"/>
  <c r="Q137" i="5" s="1"/>
  <c r="M137" i="5"/>
  <c r="N137" i="5" s="1"/>
  <c r="J137" i="5"/>
  <c r="K137" i="5" s="1"/>
  <c r="AK133" i="5"/>
  <c r="AL133" i="5" s="1"/>
  <c r="V133" i="5"/>
  <c r="W133" i="5" s="1"/>
  <c r="S133" i="5"/>
  <c r="T133" i="5" s="1"/>
  <c r="P133" i="5"/>
  <c r="Q133" i="5" s="1"/>
  <c r="M133" i="5"/>
  <c r="N133" i="5" s="1"/>
  <c r="J133" i="5"/>
  <c r="K133" i="5" s="1"/>
  <c r="AK131" i="5"/>
  <c r="AL131" i="5" s="1"/>
  <c r="V131" i="5"/>
  <c r="W131" i="5" s="1"/>
  <c r="S131" i="5"/>
  <c r="T131" i="5" s="1"/>
  <c r="P131" i="5"/>
  <c r="Q131" i="5" s="1"/>
  <c r="M131" i="5"/>
  <c r="N131" i="5" s="1"/>
  <c r="J131" i="5"/>
  <c r="K131" i="5" s="1"/>
  <c r="AK132" i="5"/>
  <c r="AL132" i="5" s="1"/>
  <c r="V132" i="5"/>
  <c r="W132" i="5" s="1"/>
  <c r="S132" i="5"/>
  <c r="T132" i="5" s="1"/>
  <c r="P132" i="5"/>
  <c r="Q132" i="5" s="1"/>
  <c r="M132" i="5"/>
  <c r="N132" i="5" s="1"/>
  <c r="J132" i="5"/>
  <c r="K132" i="5" s="1"/>
  <c r="AK129" i="5"/>
  <c r="AL129" i="5" s="1"/>
  <c r="V129" i="5"/>
  <c r="W129" i="5" s="1"/>
  <c r="S129" i="5"/>
  <c r="T129" i="5" s="1"/>
  <c r="P129" i="5"/>
  <c r="Q129" i="5" s="1"/>
  <c r="M129" i="5"/>
  <c r="N129" i="5" s="1"/>
  <c r="J129" i="5"/>
  <c r="K129" i="5" s="1"/>
  <c r="AK128" i="5"/>
  <c r="AL128" i="5" s="1"/>
  <c r="V128" i="5"/>
  <c r="W128" i="5" s="1"/>
  <c r="S128" i="5"/>
  <c r="T128" i="5" s="1"/>
  <c r="P128" i="5"/>
  <c r="Q128" i="5" s="1"/>
  <c r="M128" i="5"/>
  <c r="N128" i="5" s="1"/>
  <c r="J128" i="5"/>
  <c r="K128" i="5" s="1"/>
  <c r="AK127" i="5"/>
  <c r="AL127" i="5" s="1"/>
  <c r="V127" i="5"/>
  <c r="W127" i="5" s="1"/>
  <c r="S127" i="5"/>
  <c r="T127" i="5" s="1"/>
  <c r="P127" i="5"/>
  <c r="Q127" i="5" s="1"/>
  <c r="M127" i="5"/>
  <c r="N127" i="5" s="1"/>
  <c r="J127" i="5"/>
  <c r="K127" i="5" s="1"/>
  <c r="AK126" i="5"/>
  <c r="AL126" i="5" s="1"/>
  <c r="V126" i="5"/>
  <c r="W126" i="5" s="1"/>
  <c r="S126" i="5"/>
  <c r="T126" i="5" s="1"/>
  <c r="P126" i="5"/>
  <c r="Q126" i="5" s="1"/>
  <c r="M126" i="5"/>
  <c r="N126" i="5" s="1"/>
  <c r="J126" i="5"/>
  <c r="K126" i="5" s="1"/>
  <c r="AK125" i="5"/>
  <c r="AL125" i="5" s="1"/>
  <c r="V125" i="5"/>
  <c r="W125" i="5" s="1"/>
  <c r="S125" i="5"/>
  <c r="T125" i="5" s="1"/>
  <c r="P125" i="5"/>
  <c r="Q125" i="5" s="1"/>
  <c r="M125" i="5"/>
  <c r="N125" i="5" s="1"/>
  <c r="J125" i="5"/>
  <c r="K125" i="5" s="1"/>
  <c r="AK123" i="5"/>
  <c r="AL123" i="5" s="1"/>
  <c r="V123" i="5"/>
  <c r="W123" i="5" s="1"/>
  <c r="S123" i="5"/>
  <c r="T123" i="5" s="1"/>
  <c r="P123" i="5"/>
  <c r="Q123" i="5" s="1"/>
  <c r="M123" i="5"/>
  <c r="N123" i="5" s="1"/>
  <c r="J123" i="5"/>
  <c r="K123" i="5" s="1"/>
  <c r="AK121" i="5"/>
  <c r="AL121" i="5" s="1"/>
  <c r="V121" i="5"/>
  <c r="W121" i="5" s="1"/>
  <c r="S121" i="5"/>
  <c r="T121" i="5" s="1"/>
  <c r="P121" i="5"/>
  <c r="Q121" i="5" s="1"/>
  <c r="M121" i="5"/>
  <c r="N121" i="5" s="1"/>
  <c r="J121" i="5"/>
  <c r="K121" i="5" s="1"/>
  <c r="AK120" i="5"/>
  <c r="AL120" i="5" s="1"/>
  <c r="V120" i="5"/>
  <c r="W120" i="5" s="1"/>
  <c r="S120" i="5"/>
  <c r="T120" i="5" s="1"/>
  <c r="P120" i="5"/>
  <c r="Q120" i="5" s="1"/>
  <c r="M120" i="5"/>
  <c r="N120" i="5" s="1"/>
  <c r="J120" i="5"/>
  <c r="K120" i="5" s="1"/>
  <c r="AK118" i="5"/>
  <c r="AL118" i="5" s="1"/>
  <c r="V118" i="5"/>
  <c r="W118" i="5" s="1"/>
  <c r="S118" i="5"/>
  <c r="T118" i="5" s="1"/>
  <c r="P118" i="5"/>
  <c r="Q118" i="5" s="1"/>
  <c r="M118" i="5"/>
  <c r="N118" i="5" s="1"/>
  <c r="J118" i="5"/>
  <c r="K118" i="5" s="1"/>
  <c r="AK117" i="5"/>
  <c r="AL117" i="5" s="1"/>
  <c r="V117" i="5"/>
  <c r="W117" i="5" s="1"/>
  <c r="S117" i="5"/>
  <c r="T117" i="5" s="1"/>
  <c r="P117" i="5"/>
  <c r="Q117" i="5" s="1"/>
  <c r="M117" i="5"/>
  <c r="N117" i="5" s="1"/>
  <c r="J117" i="5"/>
  <c r="K117" i="5" s="1"/>
  <c r="AK111" i="5"/>
  <c r="AL111" i="5" s="1"/>
  <c r="V111" i="5"/>
  <c r="W111" i="5" s="1"/>
  <c r="S111" i="5"/>
  <c r="T111" i="5" s="1"/>
  <c r="P111" i="5"/>
  <c r="Q111" i="5" s="1"/>
  <c r="M111" i="5"/>
  <c r="N111" i="5" s="1"/>
  <c r="J111" i="5"/>
  <c r="K111" i="5" s="1"/>
  <c r="AK110" i="5"/>
  <c r="AL110" i="5" s="1"/>
  <c r="V110" i="5"/>
  <c r="W110" i="5" s="1"/>
  <c r="S110" i="5"/>
  <c r="T110" i="5" s="1"/>
  <c r="P110" i="5"/>
  <c r="Q110" i="5" s="1"/>
  <c r="M110" i="5"/>
  <c r="N110" i="5" s="1"/>
  <c r="J110" i="5"/>
  <c r="K110" i="5" s="1"/>
  <c r="AK109" i="5"/>
  <c r="AL109" i="5" s="1"/>
  <c r="V109" i="5"/>
  <c r="W109" i="5" s="1"/>
  <c r="T109" i="5"/>
  <c r="P109" i="5"/>
  <c r="Q109" i="5" s="1"/>
  <c r="M109" i="5"/>
  <c r="N109" i="5" s="1"/>
  <c r="J109" i="5"/>
  <c r="K109" i="5" s="1"/>
  <c r="AK107" i="5"/>
  <c r="AL107" i="5" s="1"/>
  <c r="V107" i="5"/>
  <c r="W107" i="5" s="1"/>
  <c r="S107" i="5"/>
  <c r="T107" i="5" s="1"/>
  <c r="P107" i="5"/>
  <c r="Q107" i="5" s="1"/>
  <c r="N107" i="5"/>
  <c r="J107" i="5"/>
  <c r="K107" i="5" s="1"/>
  <c r="AK105" i="5"/>
  <c r="AL105" i="5" s="1"/>
  <c r="V105" i="5"/>
  <c r="W105" i="5" s="1"/>
  <c r="S105" i="5"/>
  <c r="T105" i="5" s="1"/>
  <c r="P105" i="5"/>
  <c r="Q105" i="5" s="1"/>
  <c r="M105" i="5"/>
  <c r="N105" i="5" s="1"/>
  <c r="J105" i="5"/>
  <c r="K105" i="5" s="1"/>
  <c r="AK102" i="5"/>
  <c r="AL102" i="5" s="1"/>
  <c r="V102" i="5"/>
  <c r="W102" i="5" s="1"/>
  <c r="S102" i="5"/>
  <c r="T102" i="5" s="1"/>
  <c r="P102" i="5"/>
  <c r="Q102" i="5" s="1"/>
  <c r="M102" i="5"/>
  <c r="N102" i="5" s="1"/>
  <c r="J102" i="5"/>
  <c r="K102" i="5" s="1"/>
  <c r="AK100" i="5"/>
  <c r="AL100" i="5" s="1"/>
  <c r="V100" i="5"/>
  <c r="W100" i="5" s="1"/>
  <c r="S100" i="5"/>
  <c r="T100" i="5" s="1"/>
  <c r="P100" i="5"/>
  <c r="Q100" i="5" s="1"/>
  <c r="M100" i="5"/>
  <c r="N100" i="5" s="1"/>
  <c r="J100" i="5"/>
  <c r="K100" i="5" s="1"/>
  <c r="AK101" i="5"/>
  <c r="AL101" i="5" s="1"/>
  <c r="V101" i="5"/>
  <c r="W101" i="5" s="1"/>
  <c r="S101" i="5"/>
  <c r="T101" i="5" s="1"/>
  <c r="P101" i="5"/>
  <c r="Q101" i="5" s="1"/>
  <c r="M101" i="5"/>
  <c r="N101" i="5" s="1"/>
  <c r="J101" i="5"/>
  <c r="K101" i="5" s="1"/>
  <c r="AK98" i="5"/>
  <c r="AL98" i="5" s="1"/>
  <c r="V98" i="5"/>
  <c r="W98" i="5" s="1"/>
  <c r="S98" i="5"/>
  <c r="T98" i="5" s="1"/>
  <c r="P98" i="5"/>
  <c r="Q98" i="5" s="1"/>
  <c r="M98" i="5"/>
  <c r="N98" i="5" s="1"/>
  <c r="J98" i="5"/>
  <c r="K98" i="5" s="1"/>
  <c r="AK95" i="5"/>
  <c r="AL95" i="5" s="1"/>
  <c r="V95" i="5"/>
  <c r="W95" i="5" s="1"/>
  <c r="S95" i="5"/>
  <c r="T95" i="5" s="1"/>
  <c r="P95" i="5"/>
  <c r="Q95" i="5" s="1"/>
  <c r="M95" i="5"/>
  <c r="N95" i="5" s="1"/>
  <c r="J95" i="5"/>
  <c r="K95" i="5" s="1"/>
  <c r="AK94" i="5"/>
  <c r="AL94" i="5" s="1"/>
  <c r="V94" i="5"/>
  <c r="W94" i="5" s="1"/>
  <c r="S94" i="5"/>
  <c r="T94" i="5" s="1"/>
  <c r="P94" i="5"/>
  <c r="Q94" i="5" s="1"/>
  <c r="M94" i="5"/>
  <c r="N94" i="5" s="1"/>
  <c r="J94" i="5"/>
  <c r="K94" i="5" s="1"/>
  <c r="AK97" i="5"/>
  <c r="AL97" i="5" s="1"/>
  <c r="V97" i="5"/>
  <c r="W97" i="5" s="1"/>
  <c r="S97" i="5"/>
  <c r="T97" i="5" s="1"/>
  <c r="P97" i="5"/>
  <c r="Q97" i="5" s="1"/>
  <c r="M97" i="5"/>
  <c r="N97" i="5" s="1"/>
  <c r="J97" i="5"/>
  <c r="K97" i="5" s="1"/>
  <c r="AK93" i="5"/>
  <c r="AL93" i="5" s="1"/>
  <c r="V93" i="5"/>
  <c r="W93" i="5" s="1"/>
  <c r="S93" i="5"/>
  <c r="T93" i="5" s="1"/>
  <c r="P93" i="5"/>
  <c r="Q93" i="5" s="1"/>
  <c r="M93" i="5"/>
  <c r="N93" i="5" s="1"/>
  <c r="J93" i="5"/>
  <c r="K93" i="5" s="1"/>
  <c r="AK92" i="5"/>
  <c r="AL92" i="5" s="1"/>
  <c r="V92" i="5"/>
  <c r="W92" i="5" s="1"/>
  <c r="T92" i="5"/>
  <c r="P92" i="5"/>
  <c r="Q92" i="5" s="1"/>
  <c r="M92" i="5"/>
  <c r="N92" i="5" s="1"/>
  <c r="J92" i="5"/>
  <c r="K92" i="5" s="1"/>
  <c r="AK91" i="5"/>
  <c r="AL91" i="5" s="1"/>
  <c r="V91" i="5"/>
  <c r="W91" i="5" s="1"/>
  <c r="S91" i="5"/>
  <c r="T91" i="5" s="1"/>
  <c r="P91" i="5"/>
  <c r="Q91" i="5" s="1"/>
  <c r="M91" i="5"/>
  <c r="N91" i="5" s="1"/>
  <c r="J91" i="5"/>
  <c r="K91" i="5" s="1"/>
  <c r="AK90" i="5"/>
  <c r="AL90" i="5" s="1"/>
  <c r="V90" i="5"/>
  <c r="W90" i="5" s="1"/>
  <c r="S90" i="5"/>
  <c r="T90" i="5" s="1"/>
  <c r="P90" i="5"/>
  <c r="Q90" i="5" s="1"/>
  <c r="M90" i="5"/>
  <c r="N90" i="5" s="1"/>
  <c r="J90" i="5"/>
  <c r="K90" i="5" s="1"/>
  <c r="AK88" i="5"/>
  <c r="AL88" i="5" s="1"/>
  <c r="V88" i="5"/>
  <c r="W88" i="5" s="1"/>
  <c r="S88" i="5"/>
  <c r="T88" i="5" s="1"/>
  <c r="P88" i="5"/>
  <c r="Q88" i="5" s="1"/>
  <c r="M88" i="5"/>
  <c r="N88" i="5" s="1"/>
  <c r="J88" i="5"/>
  <c r="K88" i="5" s="1"/>
  <c r="AK86" i="5"/>
  <c r="AL86" i="5" s="1"/>
  <c r="V86" i="5"/>
  <c r="W86" i="5" s="1"/>
  <c r="S86" i="5"/>
  <c r="T86" i="5" s="1"/>
  <c r="Q86" i="5"/>
  <c r="N86" i="5"/>
  <c r="J86" i="5"/>
  <c r="K86" i="5" s="1"/>
  <c r="AK84" i="5"/>
  <c r="AL84" i="5" s="1"/>
  <c r="V84" i="5"/>
  <c r="W84" i="5" s="1"/>
  <c r="S84" i="5"/>
  <c r="T84" i="5" s="1"/>
  <c r="P84" i="5"/>
  <c r="Q84" i="5" s="1"/>
  <c r="M84" i="5"/>
  <c r="N84" i="5" s="1"/>
  <c r="J84" i="5"/>
  <c r="K84" i="5" s="1"/>
  <c r="AK83" i="5"/>
  <c r="AL83" i="5" s="1"/>
  <c r="V83" i="5"/>
  <c r="W83" i="5" s="1"/>
  <c r="S83" i="5"/>
  <c r="T83" i="5" s="1"/>
  <c r="P83" i="5"/>
  <c r="Q83" i="5" s="1"/>
  <c r="M83" i="5"/>
  <c r="N83" i="5" s="1"/>
  <c r="J83" i="5"/>
  <c r="K83" i="5" s="1"/>
  <c r="AK82" i="5"/>
  <c r="AL82" i="5" s="1"/>
  <c r="V82" i="5"/>
  <c r="W82" i="5" s="1"/>
  <c r="S82" i="5"/>
  <c r="T82" i="5" s="1"/>
  <c r="P82" i="5"/>
  <c r="Q82" i="5" s="1"/>
  <c r="M82" i="5"/>
  <c r="N82" i="5" s="1"/>
  <c r="J82" i="5"/>
  <c r="K82" i="5" s="1"/>
  <c r="AK81" i="5"/>
  <c r="AL81" i="5" s="1"/>
  <c r="V81" i="5"/>
  <c r="W81" i="5" s="1"/>
  <c r="S81" i="5"/>
  <c r="T81" i="5" s="1"/>
  <c r="P81" i="5"/>
  <c r="Q81" i="5" s="1"/>
  <c r="M81" i="5"/>
  <c r="N81" i="5" s="1"/>
  <c r="J81" i="5"/>
  <c r="K81" i="5" s="1"/>
  <c r="AK80" i="5"/>
  <c r="AL80" i="5" s="1"/>
  <c r="V80" i="5"/>
  <c r="W80" i="5" s="1"/>
  <c r="S80" i="5"/>
  <c r="T80" i="5" s="1"/>
  <c r="P80" i="5"/>
  <c r="Q80" i="5" s="1"/>
  <c r="M80" i="5"/>
  <c r="N80" i="5" s="1"/>
  <c r="J80" i="5"/>
  <c r="K80" i="5" s="1"/>
  <c r="AK79" i="5"/>
  <c r="AL79" i="5" s="1"/>
  <c r="V79" i="5"/>
  <c r="W79" i="5" s="1"/>
  <c r="S79" i="5"/>
  <c r="T79" i="5" s="1"/>
  <c r="P79" i="5"/>
  <c r="Q79" i="5" s="1"/>
  <c r="N79" i="5"/>
  <c r="J79" i="5"/>
  <c r="K79" i="5" s="1"/>
  <c r="AK77" i="5"/>
  <c r="AL77" i="5" s="1"/>
  <c r="V77" i="5"/>
  <c r="W77" i="5" s="1"/>
  <c r="S77" i="5"/>
  <c r="T77" i="5" s="1"/>
  <c r="P77" i="5"/>
  <c r="Q77" i="5" s="1"/>
  <c r="M77" i="5"/>
  <c r="N77" i="5" s="1"/>
  <c r="J77" i="5"/>
  <c r="K77" i="5" s="1"/>
  <c r="AK78" i="5"/>
  <c r="AL78" i="5" s="1"/>
  <c r="V78" i="5"/>
  <c r="W78" i="5" s="1"/>
  <c r="S78" i="5"/>
  <c r="T78" i="5" s="1"/>
  <c r="P78" i="5"/>
  <c r="Q78" i="5" s="1"/>
  <c r="M78" i="5"/>
  <c r="N78" i="5" s="1"/>
  <c r="J78" i="5"/>
  <c r="K78" i="5" s="1"/>
  <c r="AK75" i="5"/>
  <c r="AL75" i="5" s="1"/>
  <c r="V75" i="5"/>
  <c r="W75" i="5" s="1"/>
  <c r="S75" i="5"/>
  <c r="T75" i="5" s="1"/>
  <c r="P75" i="5"/>
  <c r="Q75" i="5" s="1"/>
  <c r="M75" i="5"/>
  <c r="N75" i="5" s="1"/>
  <c r="J75" i="5"/>
  <c r="K75" i="5" s="1"/>
  <c r="AK74" i="5"/>
  <c r="AL74" i="5" s="1"/>
  <c r="V74" i="5"/>
  <c r="W74" i="5" s="1"/>
  <c r="S74" i="5"/>
  <c r="T74" i="5" s="1"/>
  <c r="P74" i="5"/>
  <c r="Q74" i="5" s="1"/>
  <c r="M74" i="5"/>
  <c r="N74" i="5" s="1"/>
  <c r="J74" i="5"/>
  <c r="K74" i="5" s="1"/>
  <c r="AK73" i="5"/>
  <c r="AL73" i="5" s="1"/>
  <c r="V73" i="5"/>
  <c r="W73" i="5" s="1"/>
  <c r="S73" i="5"/>
  <c r="T73" i="5" s="1"/>
  <c r="P73" i="5"/>
  <c r="Q73" i="5" s="1"/>
  <c r="M73" i="5"/>
  <c r="N73" i="5" s="1"/>
  <c r="J73" i="5"/>
  <c r="K73" i="5" s="1"/>
  <c r="AK72" i="5"/>
  <c r="AL72" i="5" s="1"/>
  <c r="V72" i="5"/>
  <c r="W72" i="5" s="1"/>
  <c r="S72" i="5"/>
  <c r="T72" i="5" s="1"/>
  <c r="P72" i="5"/>
  <c r="Q72" i="5" s="1"/>
  <c r="M72" i="5"/>
  <c r="N72" i="5" s="1"/>
  <c r="J72" i="5"/>
  <c r="K72" i="5" s="1"/>
  <c r="AK71" i="5"/>
  <c r="AL71" i="5" s="1"/>
  <c r="V71" i="5"/>
  <c r="W71" i="5" s="1"/>
  <c r="S71" i="5"/>
  <c r="T71" i="5" s="1"/>
  <c r="P71" i="5"/>
  <c r="Q71" i="5" s="1"/>
  <c r="M71" i="5"/>
  <c r="N71" i="5" s="1"/>
  <c r="J71" i="5"/>
  <c r="K71" i="5" s="1"/>
  <c r="AK76" i="5"/>
  <c r="AL76" i="5" s="1"/>
  <c r="V76" i="5"/>
  <c r="W76" i="5" s="1"/>
  <c r="S76" i="5"/>
  <c r="T76" i="5" s="1"/>
  <c r="P76" i="5"/>
  <c r="Q76" i="5" s="1"/>
  <c r="M76" i="5"/>
  <c r="N76" i="5" s="1"/>
  <c r="J76" i="5"/>
  <c r="K76" i="5" s="1"/>
  <c r="AK70" i="5"/>
  <c r="AL70" i="5" s="1"/>
  <c r="V70" i="5"/>
  <c r="W70" i="5" s="1"/>
  <c r="S70" i="5"/>
  <c r="T70" i="5" s="1"/>
  <c r="P70" i="5"/>
  <c r="Q70" i="5" s="1"/>
  <c r="M70" i="5"/>
  <c r="N70" i="5" s="1"/>
  <c r="J70" i="5"/>
  <c r="K70" i="5" s="1"/>
  <c r="AK69" i="5"/>
  <c r="AL69" i="5" s="1"/>
  <c r="V69" i="5"/>
  <c r="W69" i="5" s="1"/>
  <c r="S69" i="5"/>
  <c r="T69" i="5" s="1"/>
  <c r="P69" i="5"/>
  <c r="Q69" i="5" s="1"/>
  <c r="M69" i="5"/>
  <c r="N69" i="5" s="1"/>
  <c r="J69" i="5"/>
  <c r="K69" i="5" s="1"/>
  <c r="AK67" i="5"/>
  <c r="AL67" i="5" s="1"/>
  <c r="V67" i="5"/>
  <c r="W67" i="5" s="1"/>
  <c r="S67" i="5"/>
  <c r="T67" i="5" s="1"/>
  <c r="P67" i="5"/>
  <c r="Q67" i="5" s="1"/>
  <c r="M67" i="5"/>
  <c r="N67" i="5" s="1"/>
  <c r="J67" i="5"/>
  <c r="K67" i="5" s="1"/>
  <c r="AK66" i="5"/>
  <c r="AL66" i="5" s="1"/>
  <c r="V66" i="5"/>
  <c r="W66" i="5" s="1"/>
  <c r="S66" i="5"/>
  <c r="T66" i="5" s="1"/>
  <c r="P66" i="5"/>
  <c r="Q66" i="5" s="1"/>
  <c r="M66" i="5"/>
  <c r="N66" i="5" s="1"/>
  <c r="J66" i="5"/>
  <c r="K66" i="5" s="1"/>
  <c r="AK65" i="5"/>
  <c r="AL65" i="5" s="1"/>
  <c r="V65" i="5"/>
  <c r="W65" i="5" s="1"/>
  <c r="S65" i="5"/>
  <c r="T65" i="5" s="1"/>
  <c r="P65" i="5"/>
  <c r="Q65" i="5" s="1"/>
  <c r="M65" i="5"/>
  <c r="N65" i="5" s="1"/>
  <c r="J65" i="5"/>
  <c r="K65" i="5" s="1"/>
  <c r="AK64" i="5"/>
  <c r="AL64" i="5" s="1"/>
  <c r="V64" i="5"/>
  <c r="W64" i="5" s="1"/>
  <c r="S64" i="5"/>
  <c r="T64" i="5" s="1"/>
  <c r="P64" i="5"/>
  <c r="Q64" i="5" s="1"/>
  <c r="M64" i="5"/>
  <c r="N64" i="5" s="1"/>
  <c r="J64" i="5"/>
  <c r="K64" i="5" s="1"/>
  <c r="AK62" i="5"/>
  <c r="AL62" i="5" s="1"/>
  <c r="V62" i="5"/>
  <c r="W62" i="5" s="1"/>
  <c r="S62" i="5"/>
  <c r="T62" i="5" s="1"/>
  <c r="P62" i="5"/>
  <c r="Q62" i="5" s="1"/>
  <c r="M62" i="5"/>
  <c r="N62" i="5" s="1"/>
  <c r="J62" i="5"/>
  <c r="K62" i="5" s="1"/>
  <c r="AK60" i="5"/>
  <c r="AL60" i="5" s="1"/>
  <c r="V60" i="5"/>
  <c r="W60" i="5" s="1"/>
  <c r="S60" i="5"/>
  <c r="T60" i="5" s="1"/>
  <c r="P60" i="5"/>
  <c r="Q60" i="5" s="1"/>
  <c r="M60" i="5"/>
  <c r="N60" i="5" s="1"/>
  <c r="J60" i="5"/>
  <c r="K60" i="5" s="1"/>
  <c r="AK61" i="5"/>
  <c r="AL61" i="5" s="1"/>
  <c r="V61" i="5"/>
  <c r="W61" i="5" s="1"/>
  <c r="S61" i="5"/>
  <c r="T61" i="5" s="1"/>
  <c r="P61" i="5"/>
  <c r="Q61" i="5" s="1"/>
  <c r="M61" i="5"/>
  <c r="N61" i="5" s="1"/>
  <c r="J61" i="5"/>
  <c r="K61" i="5" s="1"/>
  <c r="AK59" i="5"/>
  <c r="AL59" i="5" s="1"/>
  <c r="V59" i="5"/>
  <c r="W59" i="5" s="1"/>
  <c r="S59" i="5"/>
  <c r="T59" i="5" s="1"/>
  <c r="P59" i="5"/>
  <c r="Q59" i="5" s="1"/>
  <c r="M59" i="5"/>
  <c r="N59" i="5" s="1"/>
  <c r="J59" i="5"/>
  <c r="K59" i="5" s="1"/>
  <c r="AK56" i="5"/>
  <c r="AL56" i="5" s="1"/>
  <c r="V56" i="5"/>
  <c r="W56" i="5" s="1"/>
  <c r="S56" i="5"/>
  <c r="T56" i="5" s="1"/>
  <c r="P56" i="5"/>
  <c r="Q56" i="5" s="1"/>
  <c r="M56" i="5"/>
  <c r="N56" i="5" s="1"/>
  <c r="J56" i="5"/>
  <c r="K56" i="5" s="1"/>
  <c r="AK57" i="5"/>
  <c r="AL57" i="5" s="1"/>
  <c r="V57" i="5"/>
  <c r="W57" i="5" s="1"/>
  <c r="S57" i="5"/>
  <c r="T57" i="5" s="1"/>
  <c r="P57" i="5"/>
  <c r="Q57" i="5" s="1"/>
  <c r="M57" i="5"/>
  <c r="N57" i="5" s="1"/>
  <c r="J57" i="5"/>
  <c r="K57" i="5" s="1"/>
  <c r="AK58" i="5"/>
  <c r="AL58" i="5" s="1"/>
  <c r="V58" i="5"/>
  <c r="W58" i="5" s="1"/>
  <c r="S58" i="5"/>
  <c r="T58" i="5" s="1"/>
  <c r="P58" i="5"/>
  <c r="Q58" i="5" s="1"/>
  <c r="M58" i="5"/>
  <c r="N58" i="5" s="1"/>
  <c r="J58" i="5"/>
  <c r="K58" i="5" s="1"/>
  <c r="AK54" i="5"/>
  <c r="AL54" i="5" s="1"/>
  <c r="V54" i="5"/>
  <c r="W54" i="5" s="1"/>
  <c r="S54" i="5"/>
  <c r="T54" i="5" s="1"/>
  <c r="P54" i="5"/>
  <c r="Q54" i="5" s="1"/>
  <c r="M54" i="5"/>
  <c r="N54" i="5" s="1"/>
  <c r="J54" i="5"/>
  <c r="K54" i="5" s="1"/>
  <c r="AK53" i="5"/>
  <c r="AL53" i="5" s="1"/>
  <c r="V53" i="5"/>
  <c r="W53" i="5" s="1"/>
  <c r="S53" i="5"/>
  <c r="T53" i="5" s="1"/>
  <c r="P53" i="5"/>
  <c r="Q53" i="5" s="1"/>
  <c r="M53" i="5"/>
  <c r="N53" i="5" s="1"/>
  <c r="J53" i="5"/>
  <c r="K53" i="5" s="1"/>
  <c r="AK52" i="5"/>
  <c r="AL52" i="5" s="1"/>
  <c r="V52" i="5"/>
  <c r="W52" i="5" s="1"/>
  <c r="S52" i="5"/>
  <c r="T52" i="5" s="1"/>
  <c r="P52" i="5"/>
  <c r="Q52" i="5" s="1"/>
  <c r="M52" i="5"/>
  <c r="N52" i="5" s="1"/>
  <c r="J52" i="5"/>
  <c r="K52" i="5" s="1"/>
  <c r="AK47" i="5"/>
  <c r="AL47" i="5" s="1"/>
  <c r="V47" i="5"/>
  <c r="W47" i="5" s="1"/>
  <c r="S47" i="5"/>
  <c r="T47" i="5" s="1"/>
  <c r="P47" i="5"/>
  <c r="Q47" i="5" s="1"/>
  <c r="M47" i="5"/>
  <c r="N47" i="5" s="1"/>
  <c r="J47" i="5"/>
  <c r="K47" i="5" s="1"/>
  <c r="AK51" i="5"/>
  <c r="AL51" i="5" s="1"/>
  <c r="V51" i="5"/>
  <c r="W51" i="5" s="1"/>
  <c r="S51" i="5"/>
  <c r="T51" i="5" s="1"/>
  <c r="P51" i="5"/>
  <c r="Q51" i="5" s="1"/>
  <c r="M51" i="5"/>
  <c r="N51" i="5" s="1"/>
  <c r="J51" i="5"/>
  <c r="K51" i="5" s="1"/>
  <c r="AK50" i="5"/>
  <c r="AL50" i="5" s="1"/>
  <c r="V50" i="5"/>
  <c r="W50" i="5" s="1"/>
  <c r="S50" i="5"/>
  <c r="T50" i="5" s="1"/>
  <c r="P50" i="5"/>
  <c r="Q50" i="5" s="1"/>
  <c r="M50" i="5"/>
  <c r="N50" i="5" s="1"/>
  <c r="J50" i="5"/>
  <c r="K50" i="5" s="1"/>
  <c r="AK49" i="5"/>
  <c r="AL49" i="5" s="1"/>
  <c r="V49" i="5"/>
  <c r="W49" i="5" s="1"/>
  <c r="S49" i="5"/>
  <c r="T49" i="5" s="1"/>
  <c r="P49" i="5"/>
  <c r="Q49" i="5" s="1"/>
  <c r="M49" i="5"/>
  <c r="N49" i="5" s="1"/>
  <c r="J49" i="5"/>
  <c r="K49" i="5" s="1"/>
  <c r="AK48" i="5"/>
  <c r="AL48" i="5" s="1"/>
  <c r="V48" i="5"/>
  <c r="W48" i="5" s="1"/>
  <c r="S48" i="5"/>
  <c r="T48" i="5" s="1"/>
  <c r="P48" i="5"/>
  <c r="Q48" i="5" s="1"/>
  <c r="M48" i="5"/>
  <c r="N48" i="5" s="1"/>
  <c r="J48" i="5"/>
  <c r="K48" i="5" s="1"/>
  <c r="AK46" i="5"/>
  <c r="AL46" i="5" s="1"/>
  <c r="V46" i="5"/>
  <c r="W46" i="5" s="1"/>
  <c r="S46" i="5"/>
  <c r="T46" i="5" s="1"/>
  <c r="P46" i="5"/>
  <c r="Q46" i="5" s="1"/>
  <c r="M46" i="5"/>
  <c r="N46" i="5" s="1"/>
  <c r="J46" i="5"/>
  <c r="K46" i="5" s="1"/>
  <c r="AK44" i="5"/>
  <c r="AL44" i="5" s="1"/>
  <c r="V44" i="5"/>
  <c r="W44" i="5" s="1"/>
  <c r="S44" i="5"/>
  <c r="T44" i="5" s="1"/>
  <c r="P44" i="5"/>
  <c r="Q44" i="5" s="1"/>
  <c r="M44" i="5"/>
  <c r="N44" i="5" s="1"/>
  <c r="J44" i="5"/>
  <c r="K44" i="5" s="1"/>
  <c r="AK43" i="5"/>
  <c r="AL43" i="5" s="1"/>
  <c r="V43" i="5"/>
  <c r="W43" i="5" s="1"/>
  <c r="S43" i="5"/>
  <c r="T43" i="5" s="1"/>
  <c r="P43" i="5"/>
  <c r="Q43" i="5" s="1"/>
  <c r="M43" i="5"/>
  <c r="N43" i="5" s="1"/>
  <c r="J43" i="5"/>
  <c r="K43" i="5" s="1"/>
  <c r="AK42" i="5"/>
  <c r="AL42" i="5" s="1"/>
  <c r="V42" i="5"/>
  <c r="W42" i="5" s="1"/>
  <c r="S42" i="5"/>
  <c r="T42" i="5" s="1"/>
  <c r="P42" i="5"/>
  <c r="Q42" i="5" s="1"/>
  <c r="M42" i="5"/>
  <c r="N42" i="5" s="1"/>
  <c r="J42" i="5"/>
  <c r="K42" i="5" s="1"/>
  <c r="AK41" i="5"/>
  <c r="AL41" i="5" s="1"/>
  <c r="V41" i="5"/>
  <c r="W41" i="5" s="1"/>
  <c r="S41" i="5"/>
  <c r="T41" i="5" s="1"/>
  <c r="P41" i="5"/>
  <c r="Q41" i="5" s="1"/>
  <c r="M41" i="5"/>
  <c r="N41" i="5" s="1"/>
  <c r="J41" i="5"/>
  <c r="K41" i="5" s="1"/>
  <c r="AK39" i="5"/>
  <c r="AL39" i="5" s="1"/>
  <c r="V39" i="5"/>
  <c r="W39" i="5" s="1"/>
  <c r="S39" i="5"/>
  <c r="T39" i="5" s="1"/>
  <c r="P39" i="5"/>
  <c r="Q39" i="5" s="1"/>
  <c r="M39" i="5"/>
  <c r="N39" i="5" s="1"/>
  <c r="J39" i="5"/>
  <c r="K39" i="5" s="1"/>
  <c r="AK38" i="5"/>
  <c r="AL38" i="5" s="1"/>
  <c r="V38" i="5"/>
  <c r="W38" i="5" s="1"/>
  <c r="S38" i="5"/>
  <c r="T38" i="5" s="1"/>
  <c r="Q38" i="5"/>
  <c r="M38" i="5"/>
  <c r="N38" i="5" s="1"/>
  <c r="J38" i="5"/>
  <c r="K38" i="5" s="1"/>
  <c r="AK36" i="5"/>
  <c r="AL36" i="5" s="1"/>
  <c r="V36" i="5"/>
  <c r="W36" i="5" s="1"/>
  <c r="S36" i="5"/>
  <c r="T36" i="5" s="1"/>
  <c r="P36" i="5"/>
  <c r="Q36" i="5" s="1"/>
  <c r="M36" i="5"/>
  <c r="N36" i="5" s="1"/>
  <c r="J36" i="5"/>
  <c r="K36" i="5" s="1"/>
  <c r="AK35" i="5"/>
  <c r="AL35" i="5" s="1"/>
  <c r="V35" i="5"/>
  <c r="W35" i="5" s="1"/>
  <c r="S35" i="5"/>
  <c r="T35" i="5" s="1"/>
  <c r="P35" i="5"/>
  <c r="Q35" i="5" s="1"/>
  <c r="M35" i="5"/>
  <c r="N35" i="5" s="1"/>
  <c r="J35" i="5"/>
  <c r="K35" i="5" s="1"/>
  <c r="AK34" i="5"/>
  <c r="AL34" i="5" s="1"/>
  <c r="V34" i="5"/>
  <c r="W34" i="5" s="1"/>
  <c r="S34" i="5"/>
  <c r="T34" i="5" s="1"/>
  <c r="P34" i="5"/>
  <c r="Q34" i="5" s="1"/>
  <c r="M34" i="5"/>
  <c r="N34" i="5" s="1"/>
  <c r="J34" i="5"/>
  <c r="K34" i="5" s="1"/>
  <c r="AK32" i="5"/>
  <c r="AL32" i="5" s="1"/>
  <c r="V32" i="5"/>
  <c r="W32" i="5" s="1"/>
  <c r="S32" i="5"/>
  <c r="T32" i="5" s="1"/>
  <c r="P32" i="5"/>
  <c r="Q32" i="5" s="1"/>
  <c r="M32" i="5"/>
  <c r="N32" i="5" s="1"/>
  <c r="J32" i="5"/>
  <c r="K32" i="5" s="1"/>
  <c r="AK31" i="5"/>
  <c r="AL31" i="5" s="1"/>
  <c r="V31" i="5"/>
  <c r="W31" i="5" s="1"/>
  <c r="S31" i="5"/>
  <c r="T31" i="5" s="1"/>
  <c r="P31" i="5"/>
  <c r="Q31" i="5" s="1"/>
  <c r="M31" i="5"/>
  <c r="N31" i="5" s="1"/>
  <c r="J31" i="5"/>
  <c r="K31" i="5" s="1"/>
  <c r="AK30" i="5"/>
  <c r="AL30" i="5" s="1"/>
  <c r="V30" i="5"/>
  <c r="W30" i="5" s="1"/>
  <c r="S30" i="5"/>
  <c r="T30" i="5" s="1"/>
  <c r="P30" i="5"/>
  <c r="Q30" i="5" s="1"/>
  <c r="M30" i="5"/>
  <c r="N30" i="5" s="1"/>
  <c r="J30" i="5"/>
  <c r="K30" i="5" s="1"/>
  <c r="AK29" i="5"/>
  <c r="AL29" i="5" s="1"/>
  <c r="V29" i="5"/>
  <c r="W29" i="5" s="1"/>
  <c r="S29" i="5"/>
  <c r="T29" i="5" s="1"/>
  <c r="P29" i="5"/>
  <c r="Q29" i="5" s="1"/>
  <c r="M29" i="5"/>
  <c r="N29" i="5" s="1"/>
  <c r="J29" i="5"/>
  <c r="K29" i="5" s="1"/>
  <c r="AK28" i="5"/>
  <c r="AL28" i="5" s="1"/>
  <c r="V28" i="5"/>
  <c r="W28" i="5" s="1"/>
  <c r="S28" i="5"/>
  <c r="T28" i="5" s="1"/>
  <c r="P28" i="5"/>
  <c r="Q28" i="5" s="1"/>
  <c r="M28" i="5"/>
  <c r="N28" i="5" s="1"/>
  <c r="J28" i="5"/>
  <c r="K28" i="5" s="1"/>
  <c r="AK24" i="5"/>
  <c r="AL24" i="5" s="1"/>
  <c r="W24" i="5"/>
  <c r="S24" i="5"/>
  <c r="T24" i="5" s="1"/>
  <c r="P24" i="5"/>
  <c r="Q24" i="5" s="1"/>
  <c r="M24" i="5"/>
  <c r="N24" i="5" s="1"/>
  <c r="J24" i="5"/>
  <c r="K24" i="5" s="1"/>
  <c r="AK26" i="5"/>
  <c r="AL26" i="5" s="1"/>
  <c r="V26" i="5"/>
  <c r="W26" i="5" s="1"/>
  <c r="S26" i="5"/>
  <c r="T26" i="5" s="1"/>
  <c r="P26" i="5"/>
  <c r="Q26" i="5" s="1"/>
  <c r="M26" i="5"/>
  <c r="N26" i="5" s="1"/>
  <c r="J26" i="5"/>
  <c r="K26" i="5" s="1"/>
  <c r="AK25" i="5"/>
  <c r="AL25" i="5" s="1"/>
  <c r="V25" i="5"/>
  <c r="W25" i="5" s="1"/>
  <c r="S25" i="5"/>
  <c r="T25" i="5" s="1"/>
  <c r="P25" i="5"/>
  <c r="Q25" i="5" s="1"/>
  <c r="M25" i="5"/>
  <c r="N25" i="5" s="1"/>
  <c r="J25" i="5"/>
  <c r="K25" i="5" s="1"/>
  <c r="AK23" i="5"/>
  <c r="AL23" i="5" s="1"/>
  <c r="V23" i="5"/>
  <c r="W23" i="5" s="1"/>
  <c r="S23" i="5"/>
  <c r="T23" i="5" s="1"/>
  <c r="P23" i="5"/>
  <c r="Q23" i="5" s="1"/>
  <c r="M23" i="5"/>
  <c r="N23" i="5" s="1"/>
  <c r="J23" i="5"/>
  <c r="K23" i="5" s="1"/>
  <c r="AK22" i="5"/>
  <c r="AL22" i="5" s="1"/>
  <c r="V22" i="5"/>
  <c r="W22" i="5" s="1"/>
  <c r="S22" i="5"/>
  <c r="T22" i="5" s="1"/>
  <c r="P22" i="5"/>
  <c r="Q22" i="5" s="1"/>
  <c r="M22" i="5"/>
  <c r="N22" i="5" s="1"/>
  <c r="J22" i="5"/>
  <c r="K22" i="5" s="1"/>
  <c r="AK7" i="5"/>
  <c r="AL7" i="5" s="1"/>
  <c r="V7" i="5"/>
  <c r="W7" i="5" s="1"/>
  <c r="S7" i="5"/>
  <c r="T7" i="5" s="1"/>
  <c r="P7" i="5"/>
  <c r="Q7" i="5" s="1"/>
  <c r="M7" i="5"/>
  <c r="N7" i="5" s="1"/>
  <c r="J7" i="5"/>
  <c r="K7" i="5" s="1"/>
  <c r="AK20" i="5"/>
  <c r="AL20" i="5" s="1"/>
  <c r="V20" i="5"/>
  <c r="W20" i="5" s="1"/>
  <c r="S20" i="5"/>
  <c r="T20" i="5" s="1"/>
  <c r="P20" i="5"/>
  <c r="Q20" i="5" s="1"/>
  <c r="M20" i="5"/>
  <c r="N20" i="5" s="1"/>
  <c r="J20" i="5"/>
  <c r="K20" i="5" s="1"/>
  <c r="AK17" i="5"/>
  <c r="AL17" i="5" s="1"/>
  <c r="V17" i="5"/>
  <c r="W17" i="5" s="1"/>
  <c r="S17" i="5"/>
  <c r="T17" i="5" s="1"/>
  <c r="P17" i="5"/>
  <c r="Q17" i="5" s="1"/>
  <c r="M17" i="5"/>
  <c r="N17" i="5" s="1"/>
  <c r="J17" i="5"/>
  <c r="K17" i="5" s="1"/>
  <c r="AK16" i="5"/>
  <c r="AL16" i="5" s="1"/>
  <c r="V16" i="5"/>
  <c r="W16" i="5" s="1"/>
  <c r="S16" i="5"/>
  <c r="T16" i="5" s="1"/>
  <c r="P16" i="5"/>
  <c r="Q16" i="5" s="1"/>
  <c r="M16" i="5"/>
  <c r="N16" i="5" s="1"/>
  <c r="J16" i="5"/>
  <c r="K16" i="5" s="1"/>
  <c r="AK5" i="5"/>
  <c r="AL5" i="5" s="1"/>
  <c r="V5" i="5"/>
  <c r="W5" i="5" s="1"/>
  <c r="S5" i="5"/>
  <c r="T5" i="5" s="1"/>
  <c r="P5" i="5"/>
  <c r="Q5" i="5" s="1"/>
  <c r="M5" i="5"/>
  <c r="N5" i="5" s="1"/>
  <c r="J5" i="5"/>
  <c r="K5" i="5" s="1"/>
  <c r="AK15" i="5"/>
  <c r="AL15" i="5" s="1"/>
  <c r="V15" i="5"/>
  <c r="W15" i="5" s="1"/>
  <c r="S15" i="5"/>
  <c r="T15" i="5" s="1"/>
  <c r="P15" i="5"/>
  <c r="Q15" i="5" s="1"/>
  <c r="M15" i="5"/>
  <c r="N15" i="5" s="1"/>
  <c r="J15" i="5"/>
  <c r="K15" i="5" s="1"/>
  <c r="AK14" i="5"/>
  <c r="AL14" i="5" s="1"/>
  <c r="V14" i="5"/>
  <c r="W14" i="5" s="1"/>
  <c r="S14" i="5"/>
  <c r="T14" i="5" s="1"/>
  <c r="P14" i="5"/>
  <c r="Q14" i="5" s="1"/>
  <c r="M14" i="5"/>
  <c r="N14" i="5" s="1"/>
  <c r="J14" i="5"/>
  <c r="K14" i="5" s="1"/>
  <c r="AK13" i="5"/>
  <c r="AL13" i="5" s="1"/>
  <c r="V13" i="5"/>
  <c r="W13" i="5" s="1"/>
  <c r="S13" i="5"/>
  <c r="T13" i="5" s="1"/>
  <c r="P13" i="5"/>
  <c r="Q13" i="5" s="1"/>
  <c r="M13" i="5"/>
  <c r="N13" i="5" s="1"/>
  <c r="J13" i="5"/>
  <c r="K13" i="5" s="1"/>
  <c r="AK12" i="5"/>
  <c r="AL12" i="5" s="1"/>
  <c r="V12" i="5"/>
  <c r="W12" i="5" s="1"/>
  <c r="S12" i="5"/>
  <c r="T12" i="5" s="1"/>
  <c r="P12" i="5"/>
  <c r="Q12" i="5" s="1"/>
  <c r="M12" i="5"/>
  <c r="N12" i="5" s="1"/>
  <c r="J12" i="5"/>
  <c r="K12" i="5" s="1"/>
  <c r="AK10" i="5"/>
  <c r="AL10" i="5" s="1"/>
  <c r="V10" i="5"/>
  <c r="W10" i="5" s="1"/>
  <c r="S10" i="5"/>
  <c r="T10" i="5" s="1"/>
  <c r="P10" i="5"/>
  <c r="Q10" i="5" s="1"/>
  <c r="M10" i="5"/>
  <c r="N10" i="5" s="1"/>
  <c r="J10" i="5"/>
  <c r="K10" i="5" s="1"/>
  <c r="AK11" i="5"/>
  <c r="AL11" i="5" s="1"/>
  <c r="V11" i="5"/>
  <c r="W11" i="5" s="1"/>
  <c r="T11" i="5"/>
  <c r="P11" i="5"/>
  <c r="Q11" i="5" s="1"/>
  <c r="M11" i="5"/>
  <c r="N11" i="5" s="1"/>
  <c r="J11" i="5"/>
  <c r="K11" i="5" s="1"/>
  <c r="AK9" i="5"/>
  <c r="AL9" i="5" s="1"/>
  <c r="V9" i="5"/>
  <c r="W9" i="5" s="1"/>
  <c r="S9" i="5"/>
  <c r="T9" i="5" s="1"/>
  <c r="P9" i="5"/>
  <c r="Q9" i="5" s="1"/>
  <c r="M9" i="5"/>
  <c r="N9" i="5" s="1"/>
  <c r="J9" i="5"/>
  <c r="K9" i="5" s="1"/>
  <c r="AK8" i="5"/>
  <c r="AL8" i="5" s="1"/>
  <c r="V8" i="5"/>
  <c r="W8" i="5" s="1"/>
  <c r="S8" i="5"/>
  <c r="T8" i="5" s="1"/>
  <c r="P8" i="5"/>
  <c r="Q8" i="5" s="1"/>
  <c r="M8" i="5"/>
  <c r="N8" i="5" s="1"/>
  <c r="J8" i="5"/>
  <c r="K8" i="5" s="1"/>
  <c r="AK6" i="5"/>
  <c r="AL6" i="5" s="1"/>
  <c r="V6" i="5"/>
  <c r="W6" i="5" s="1"/>
  <c r="S6" i="5"/>
  <c r="T6" i="5" s="1"/>
  <c r="P6" i="5"/>
  <c r="Q6" i="5" s="1"/>
  <c r="M6" i="5"/>
  <c r="N6" i="5" s="1"/>
  <c r="J6" i="5"/>
  <c r="K6" i="5" s="1"/>
  <c r="AK4" i="5"/>
  <c r="AL4" i="5" s="1"/>
  <c r="V4" i="5"/>
  <c r="W4" i="5" s="1"/>
  <c r="S4" i="5"/>
  <c r="T4" i="5" s="1"/>
  <c r="P4" i="5"/>
  <c r="Q4" i="5" s="1"/>
  <c r="M4" i="5"/>
  <c r="N4" i="5" s="1"/>
  <c r="J4" i="5"/>
  <c r="K4" i="5" s="1"/>
  <c r="AK18" i="5"/>
  <c r="AL18" i="5" s="1"/>
  <c r="V18" i="5"/>
  <c r="W18" i="5" s="1"/>
  <c r="S18" i="5"/>
  <c r="T18" i="5" s="1"/>
  <c r="P18" i="5"/>
  <c r="Q18" i="5" s="1"/>
  <c r="M18" i="5"/>
  <c r="N18" i="5" s="1"/>
  <c r="J18" i="5"/>
  <c r="K18" i="5" s="1"/>
  <c r="AK3" i="5"/>
  <c r="AL3" i="5" s="1"/>
  <c r="V3" i="5"/>
  <c r="W3" i="5" s="1"/>
  <c r="S3" i="5"/>
  <c r="T3" i="5" s="1"/>
  <c r="P3" i="5"/>
  <c r="Q3" i="5" s="1"/>
  <c r="M3" i="5"/>
  <c r="N3" i="5" s="1"/>
  <c r="J3" i="5"/>
  <c r="K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4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96 km</t>
        </r>
      </text>
    </comment>
    <comment ref="R42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90.2 km</t>
        </r>
      </text>
    </comment>
    <comment ref="U42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87 km
</t>
        </r>
      </text>
    </comment>
  </commentList>
</comments>
</file>

<file path=xl/sharedStrings.xml><?xml version="1.0" encoding="utf-8"?>
<sst xmlns="http://schemas.openxmlformats.org/spreadsheetml/2006/main" count="2275" uniqueCount="1531">
  <si>
    <t xml:space="preserve">Vasai </t>
  </si>
  <si>
    <t>Thane</t>
  </si>
  <si>
    <t>Bhiwandi</t>
  </si>
  <si>
    <t>Sr.No.</t>
  </si>
  <si>
    <t>Mumbai 1</t>
  </si>
  <si>
    <t>Sales Division</t>
  </si>
  <si>
    <t>Customer Code</t>
  </si>
  <si>
    <t>Name of the Distributor</t>
  </si>
  <si>
    <t>Delivery Address in full</t>
  </si>
  <si>
    <t>Short Address</t>
  </si>
  <si>
    <t>PIN Code</t>
  </si>
  <si>
    <t>Distance from Kamshet</t>
  </si>
  <si>
    <t>Distance from Thane</t>
  </si>
  <si>
    <t>Distance from Vasai</t>
  </si>
  <si>
    <t>Distance from Andheri</t>
  </si>
  <si>
    <t>Distance from Vidya Vihar</t>
  </si>
  <si>
    <t>Distance from Mahul</t>
  </si>
  <si>
    <t>Slab</t>
  </si>
  <si>
    <t>Rate</t>
  </si>
  <si>
    <t>KM</t>
  </si>
  <si>
    <t>0-20</t>
  </si>
  <si>
    <t>Mumbai 2</t>
  </si>
  <si>
    <t>D62138</t>
  </si>
  <si>
    <t>SHOP NO 5,UJWAL BUILDING,ZUNZARRAO MARKET KALYAN WEST 421301</t>
  </si>
  <si>
    <t>Kalyan West</t>
  </si>
  <si>
    <t>21-30</t>
  </si>
  <si>
    <t>D02595</t>
  </si>
  <si>
    <t>ARYADEV ENTERPRISES</t>
  </si>
  <si>
    <t>C/21,SIGRUN SPLENDOR,MADHUBAN TOWNSHIP OPP EVERSHINE GATE,VASAI 401208</t>
  </si>
  <si>
    <t>31-50</t>
  </si>
  <si>
    <t>K05846</t>
  </si>
  <si>
    <t>AAHAR FOODS (BHAYENDER)</t>
  </si>
  <si>
    <t>MAXUS CINEMA,SNO.27,TINBE HOSPITAL ROAD, NEAR RAILWAY FLYOVER,BHAYANDER(W),THANE-401101, 401101</t>
  </si>
  <si>
    <t>Bhayander West</t>
  </si>
  <si>
    <t>51-80</t>
  </si>
  <si>
    <t>D62147</t>
  </si>
  <si>
    <t>AARYAA TRADERS</t>
  </si>
  <si>
    <t>saphale</t>
  </si>
  <si>
    <t>81-110</t>
  </si>
  <si>
    <t>D02496</t>
  </si>
  <si>
    <t>ABDHESH ENTPERPRISES-GHANSOLI</t>
  </si>
  <si>
    <t>Ghansoli, Maharashtra</t>
  </si>
  <si>
    <t>110-130</t>
  </si>
  <si>
    <t>D02636</t>
  </si>
  <si>
    <t>AMMAR TRADING CO.</t>
  </si>
  <si>
    <t>HOUSE NO.20 GALA NO.1/A MASTER COMPOUND NR RAIS HIGH SCHOOL GAURI PADA BHIWANDI 421302</t>
  </si>
  <si>
    <t>Kalyan, Maharashtra</t>
  </si>
  <si>
    <t>D39674</t>
  </si>
  <si>
    <t>ANANYA MARKETING</t>
  </si>
  <si>
    <t>SHOP NO 38,OSTWAL ORCHID KANKIYA ROAD,NEXT TO GALAXY HOSPITAL ,MIRA RD EAST 401107</t>
  </si>
  <si>
    <t>Miraroad, Maharashtra</t>
  </si>
  <si>
    <t>D62184</t>
  </si>
  <si>
    <t>ANANYA ENTERPRISES</t>
  </si>
  <si>
    <t>D62108</t>
  </si>
  <si>
    <t>ANIL ENTERPRISES</t>
  </si>
  <si>
    <t xml:space="preserve">Virar </t>
  </si>
  <si>
    <t>D02573</t>
  </si>
  <si>
    <t>ANJALI ENTERPRISES-ULHASNAGAR</t>
  </si>
  <si>
    <t>PLOT NO 9,CENTRAL HOSPITAL RD,NEAR HANUMAN MANDIR,ULHASNAGAR 421002</t>
  </si>
  <si>
    <t>Ambarnath, Ulhasnagar</t>
  </si>
  <si>
    <t>D62092</t>
  </si>
  <si>
    <t>ANSHA ENTERPRISES</t>
  </si>
  <si>
    <t>H.NO 45/3,DHOBI TALAO,NEAR ASMA COMPLEX NEW GAURYPADA, 421302</t>
  </si>
  <si>
    <t>D02516</t>
  </si>
  <si>
    <t>ANVI FOODS &amp; BEVERAGE</t>
  </si>
  <si>
    <t>D62182</t>
  </si>
  <si>
    <t>AARVEE ENTERPRISES</t>
  </si>
  <si>
    <t>GALA NO 4 &amp; 5,BUIDLING NO 3,APMC MARKET ,M.G ROAD,PEN TAL-PEN 402107</t>
  </si>
  <si>
    <t>D00255</t>
  </si>
  <si>
    <t>A-ONE ENTERPRISES (VAJRESHWARI)</t>
  </si>
  <si>
    <t>DEV DWARKA BANG,AT POST-VARJRESHWARI TAL - BHIWANDI,DIST.-THANE 401204</t>
  </si>
  <si>
    <t>D02555</t>
  </si>
  <si>
    <t>A-ONE TRADING</t>
  </si>
  <si>
    <t>Thane West Station</t>
  </si>
  <si>
    <t>D02624</t>
  </si>
  <si>
    <t>ASTHA ENTERPRISES</t>
  </si>
  <si>
    <t>Virar East</t>
  </si>
  <si>
    <t>D02612</t>
  </si>
  <si>
    <t>AAYAT ENTERPRISES</t>
  </si>
  <si>
    <t>D02425</t>
  </si>
  <si>
    <t>BHARAT TRADING COMPANY(SHRIVARDHAN-RAIGAD)</t>
  </si>
  <si>
    <t>435 TILAK ROAD,NEAR GAS AGENCY ,SHRIVARDHAN DIST-RAIGAD 402110</t>
  </si>
  <si>
    <t>Raigad, Maharashtra</t>
  </si>
  <si>
    <t>D02435</t>
  </si>
  <si>
    <t>CHAOUDARY AGENCIES (PALI)</t>
  </si>
  <si>
    <t>NEW PALIWALA COMPLEX,AT-POST-PALI,TAL-SUHAGAD, DIST.RAIGAD,PIN CODE-410205. 410205</t>
  </si>
  <si>
    <t>Pali, Maharashtra</t>
  </si>
  <si>
    <t>D02500</t>
  </si>
  <si>
    <t>D.A DISTRIBUTOR</t>
  </si>
  <si>
    <t>Dahanu, Maharashtra</t>
  </si>
  <si>
    <t>D01041</t>
  </si>
  <si>
    <t>D.K.ENTERPRISES (NAVI MUMBAI)</t>
  </si>
  <si>
    <t>Turbe, Maharashtra</t>
  </si>
  <si>
    <t>D62187</t>
  </si>
  <si>
    <t>D PUROHIT TRADERS</t>
  </si>
  <si>
    <t>Seawoods, Maharashtra</t>
  </si>
  <si>
    <t>D62098</t>
  </si>
  <si>
    <t>DHANUSH ENTERPRISES</t>
  </si>
  <si>
    <t>SAI SATYAM BUILDING,SHOP NO 2,PLOT NO 20 SECTOR-4,KARANJADE,TAL PANVEL DIST. 410220</t>
  </si>
  <si>
    <t>Panvel</t>
  </si>
  <si>
    <t>D02246</t>
  </si>
  <si>
    <t>DIVYA DISTRIBUTORS-NALLASOPARA</t>
  </si>
  <si>
    <t>Shop No 8,Subhodh Sagar Complex,Shreeprastha 4th floor,Near Fun Fiesta,Nallasopara West 401203</t>
  </si>
  <si>
    <t>Nallasopara West, Maharashtra</t>
  </si>
  <si>
    <t>D02057</t>
  </si>
  <si>
    <t>DRISTI ENTERPRISES (VASAI-E) RAILWAY</t>
  </si>
  <si>
    <t>HIRA PANNA APRT, RAMDAS NAGAR,OPP PLATFORM NO.7, 401202</t>
  </si>
  <si>
    <t>Vasai East, Maharashtra</t>
  </si>
  <si>
    <t>D02451</t>
  </si>
  <si>
    <t>EKVIRA AAI ENTERPRISES,(KHARGHAR)</t>
  </si>
  <si>
    <t>SHOP NO 18,PLOT NO.2,REGENCY PARK CHS,SEC-5 KHARGHAR,NAVI MUMBAI 400710</t>
  </si>
  <si>
    <t>Kharghar, Maharashtra</t>
  </si>
  <si>
    <t>D02490</t>
  </si>
  <si>
    <t>EKVIRA TRADERS-NALLASOPARA</t>
  </si>
  <si>
    <t>Nallasopara East, Maharashtra</t>
  </si>
  <si>
    <t>D62183</t>
  </si>
  <si>
    <t>G.K. ENTERPRISES</t>
  </si>
  <si>
    <t>MEGHDOOT BLDG,SAI BABA NAGAR MIRA ROAD EAST 401107</t>
  </si>
  <si>
    <t>D02104</t>
  </si>
  <si>
    <t>G.M. ENTERPRISES- KHARGHAR (SHOPPEE)</t>
  </si>
  <si>
    <t>D62146</t>
  </si>
  <si>
    <t>GAURANG ENTERPRISES</t>
  </si>
  <si>
    <t>AT POST GANESH PURI ,GANDHI PADA TAL- BHIWANDI DATARTRAY NIWAS,SHOP NO 3 421302</t>
  </si>
  <si>
    <t>Ganeshpuri</t>
  </si>
  <si>
    <t>D02247</t>
  </si>
  <si>
    <t>GUPTA DISTRIBUTOR’S</t>
  </si>
  <si>
    <t>Shop No19,Lotus building,Agrawal &amp; Doshi Complex,Bhabola Naka,Vasai West 401201</t>
  </si>
  <si>
    <t>Vasai West, Maharashtra</t>
  </si>
  <si>
    <t>D01463</t>
  </si>
  <si>
    <t>GURUKRUPA CATERERS(MUKUND NGR-ROHA)</t>
  </si>
  <si>
    <t>MUKUND NAGAR,ASTAMI, TAL-ROHA,DIST-RAIGAD. 402109</t>
  </si>
  <si>
    <t>Roha, Maharashtra</t>
  </si>
  <si>
    <t>K06173</t>
  </si>
  <si>
    <t>HOTEL NEETA INTERNATIONAL</t>
  </si>
  <si>
    <t>HP PETROL PUMP TOLL NAKA KHALAPUR 410202</t>
  </si>
  <si>
    <t>Khalapur, Maharasthra</t>
  </si>
  <si>
    <t>DTH0655</t>
  </si>
  <si>
    <t>HOTEL PRANJALI (MURBAD)</t>
  </si>
  <si>
    <t>KHUTAL BANGLOW,POST SARALGAON, TAL MURBAD,DIST THANE 421401</t>
  </si>
  <si>
    <t>Murbad, Maharashtra</t>
  </si>
  <si>
    <t>D02066</t>
  </si>
  <si>
    <t>HRIDAAN ENTERPRISES (NAVI MUMBAI)</t>
  </si>
  <si>
    <t>KALA - SHREE,SHOP NO.1,SHOP NO.1 PLOT B-84/86,SECTOR-29,AGROLI, 400614</t>
  </si>
  <si>
    <t>Belapur, Maharashtra</t>
  </si>
  <si>
    <t>D02483</t>
  </si>
  <si>
    <t>ICICI BANK LTD (KHANDALA BRANCH)</t>
  </si>
  <si>
    <t>ICICI BANK LEARNING CENTRE,OLD MUMBAI PUNE HIGHWA NR HOTEL KAMAT,KHANDALA(LONAVALA)DIST-PUNE 410301</t>
  </si>
  <si>
    <t>Khandala, Maharasthra</t>
  </si>
  <si>
    <t>C06268</t>
  </si>
  <si>
    <t>INSTAKART SERVICES PVT LTD</t>
  </si>
  <si>
    <t>Rayasani, Maharashtra</t>
  </si>
  <si>
    <t>D02440</t>
  </si>
  <si>
    <t>JAGDAMBA ENTERPRISES (NEW PANVEL)</t>
  </si>
  <si>
    <t>K06809</t>
  </si>
  <si>
    <t>JAI BADA GANESH</t>
  </si>
  <si>
    <t>Manor</t>
  </si>
  <si>
    <t>D02429</t>
  </si>
  <si>
    <t>JAIN ENTERPRISES (MURUD- JANJIRA)</t>
  </si>
  <si>
    <t>BAZZAR PETH,MURUD-JANJIRA, RAIGAD. 402401</t>
  </si>
  <si>
    <t>Janjira, Maharashtra</t>
  </si>
  <si>
    <t>D00040</t>
  </si>
  <si>
    <t>JIVDANI ENTERPRISES (NALASOPARA)</t>
  </si>
  <si>
    <t>IBRAHIM KARVE CHWL,SHOP NO.21, STN RD.NALASOPARA.DIST.-THANE 401203</t>
  </si>
  <si>
    <t>K07988</t>
  </si>
  <si>
    <t>J.J ENTERPRISES</t>
  </si>
  <si>
    <t>Nerul</t>
  </si>
  <si>
    <t>D62133</t>
  </si>
  <si>
    <t>KAMAT ENTERPRISES</t>
  </si>
  <si>
    <t>2ND ROOM NO 206,B WING, HATISWAR CHS,MAHESH PARK, 401203</t>
  </si>
  <si>
    <t>D02597</t>
  </si>
  <si>
    <t>KEDAR SALES</t>
  </si>
  <si>
    <t>KALYAN</t>
  </si>
  <si>
    <t>D02437</t>
  </si>
  <si>
    <t>KOKAN AGENCY(MANGAON-RAIGAD)</t>
  </si>
  <si>
    <t>AT POST - LAKHAPALE TALUKA MANGAON 402103</t>
  </si>
  <si>
    <t>Mangaon, Maharashtra</t>
  </si>
  <si>
    <t>D02512</t>
  </si>
  <si>
    <t>MALHAR ENTERPRISES-KARJAT</t>
  </si>
  <si>
    <t>01,SHIVKRUPA APT,SHIVAJI NAGAR,VENGAON ROAD, DAHIVALI,KARJAT-410201 410201</t>
  </si>
  <si>
    <t>Karjat, Maharashtra</t>
  </si>
  <si>
    <t>K08231</t>
  </si>
  <si>
    <t>MALHAR ENTERPRISES</t>
  </si>
  <si>
    <t>AT POST SAJGOAN, KHALAPUR 410203</t>
  </si>
  <si>
    <t>Khalapur</t>
  </si>
  <si>
    <t>K08232</t>
  </si>
  <si>
    <t>MALHAR COLDDRINKS</t>
  </si>
  <si>
    <t>23/A,TAL - KHALAPUR,SAJGAON KHOPOLI,SAJGAON 410203</t>
  </si>
  <si>
    <t>D62180</t>
  </si>
  <si>
    <t>MALI ENTERPRISES</t>
  </si>
  <si>
    <t>PRABHAT COLONY ,MAHAD TAL MAHAD DIST RAIGAD 402301</t>
  </si>
  <si>
    <t>Mahad, Maharashtra</t>
  </si>
  <si>
    <t>D50405</t>
  </si>
  <si>
    <t>MANSI ENTERPRISES</t>
  </si>
  <si>
    <t>SECTOR -11,PLOT NO 49,NEAR BUDH GHAR KAMOTHE,PANVEL 410209</t>
  </si>
  <si>
    <t>Kamothe, Panvel</t>
  </si>
  <si>
    <t>D02292</t>
  </si>
  <si>
    <t>MAULI KRUPA ENTERPRISES-DOMBIVLI</t>
  </si>
  <si>
    <t>Dombivli, Maharashtra</t>
  </si>
  <si>
    <t>D02574</t>
  </si>
  <si>
    <t>MHATRE DISTRIBUTORS</t>
  </si>
  <si>
    <t>C/O HOTEL VANRAI,RCF,KATA GATE THAI, ALIBAG 402101</t>
  </si>
  <si>
    <t>Alibaugh, Maharashtra</t>
  </si>
  <si>
    <t>D02099</t>
  </si>
  <si>
    <t>MOIN RAZA ENTERPRISES (MURBAD)</t>
  </si>
  <si>
    <t>D02092</t>
  </si>
  <si>
    <t>MUKTA MILK SUPL. &amp; GEN.STORE (DOMBIVALI-E)</t>
  </si>
  <si>
    <t>MUKTA RESIDENCY,B-2,SHOP NO.16, PADLE BUS STOP,KALYAN SHIL RD, 421201</t>
  </si>
  <si>
    <t>Diva Shilphata, Maharashtra</t>
  </si>
  <si>
    <t>D02505</t>
  </si>
  <si>
    <t>NARAYANI ENTERPRISES-BHAYANDER WEST</t>
  </si>
  <si>
    <t>SHOP NO 10,DHARTI RESIDENCY ,NEXT TO MACDONALD , 150FT. RD,BHAYANDER WEST,THANE 401101</t>
  </si>
  <si>
    <t>Bhyander (W), Maharashtra</t>
  </si>
  <si>
    <t>D02494</t>
  </si>
  <si>
    <t>NEEL ENTERPRISE</t>
  </si>
  <si>
    <t>D02431</t>
  </si>
  <si>
    <t>NEEL SIDDHI ENTERPRISES (MURUD-JANJIRA)</t>
  </si>
  <si>
    <t>AT- POST - NANDGAON, TAL- MURUD,DIST-JANJIRA,RAIGAD. 402401</t>
  </si>
  <si>
    <t>D62174</t>
  </si>
  <si>
    <t>NOOR ENTERPRISES MIRA ROAD-E</t>
  </si>
  <si>
    <t>AARZOO APARTMENT ,POONAM NAGAR COMPLEX MIRA RD(EAST),DIST THANE 401107</t>
  </si>
  <si>
    <t>D02540</t>
  </si>
  <si>
    <t>NEW KARAN AGENCY- CHANDI , ALIBAUG</t>
  </si>
  <si>
    <t>HOUSE NO 38,AT SATIRJE,HOUSE NO 38-B MAPGAON,ALIBAUG,RAIGAD 402207</t>
  </si>
  <si>
    <t>D62083</t>
  </si>
  <si>
    <t>NEW SAMVED ENTERPRISES</t>
  </si>
  <si>
    <t>SHOP B -19,RAJIV MASJITHA PARK,ACHOLE ROAD NEAR DURRAKKAR HOTEL 401209</t>
  </si>
  <si>
    <t>Nalasopara</t>
  </si>
  <si>
    <t>D01968</t>
  </si>
  <si>
    <t>NEW SOALTEE FAST FOOD (SHOPPEE)</t>
  </si>
  <si>
    <t>MEHUL VILLA,SHOP NO 1, RAMBAUG, 421301</t>
  </si>
  <si>
    <t>D01602</t>
  </si>
  <si>
    <t>NIHAL AGENCY(NERAL)</t>
  </si>
  <si>
    <t>AT NERAL ' K ' SEE,TALIKA KARJAT, DISTRICT RAIGAD,NERAL-410201. 410201</t>
  </si>
  <si>
    <t>Neral, Maharashtra</t>
  </si>
  <si>
    <t>D02457</t>
  </si>
  <si>
    <t>NIKITA ENTERPRISES</t>
  </si>
  <si>
    <t>SHOP NO 3 SAI SANKUL OPP GAONDEVI MANDIR TISGAON KALYAN EAST 421306</t>
  </si>
  <si>
    <t>Kongaon, Maharashtra</t>
  </si>
  <si>
    <t>D62171</t>
  </si>
  <si>
    <t>OM SAI ENTERPRISES</t>
  </si>
  <si>
    <t>D02056</t>
  </si>
  <si>
    <t>OM ENTERPRISES (VASAI WEST)</t>
  </si>
  <si>
    <t>GANESH KRUPA, BHANDAR AALI,KHOCHI WADI, 401202</t>
  </si>
  <si>
    <t>Naigaon East, Maharashtra</t>
  </si>
  <si>
    <t>D01308</t>
  </si>
  <si>
    <t>MHATRE NIWAS,OPP.SWASTIK REGAL,KAVESAR, WAGHBIL,G.B.ROAD,THANE - 400601. 400601</t>
  </si>
  <si>
    <t>Thane, Maharashtra</t>
  </si>
  <si>
    <t>D02543</t>
  </si>
  <si>
    <t>OM SAI ENTERPRISES-KASARA</t>
  </si>
  <si>
    <t>AT POST BAMNE,SAHAHAPUR,NEAR LIBERTY OIL MILL THANE,MAHARASHTRA 421601</t>
  </si>
  <si>
    <t>Kasara, Maharashtra</t>
  </si>
  <si>
    <t>D62193</t>
  </si>
  <si>
    <t>OMKAR AGENCY</t>
  </si>
  <si>
    <t>PAWAN OMKARA GOWDOWN, OPP PAWAN VATIKA ,NEAR DON BOSCO 421301</t>
  </si>
  <si>
    <t>D02434</t>
  </si>
  <si>
    <t>PARVATI ENTERPRISES (MAHAD-RAIGAD)</t>
  </si>
  <si>
    <t>PARVATI BLDG,PRABHAT COLONY MAHAD RAIGAD 402301</t>
  </si>
  <si>
    <t>K06975</t>
  </si>
  <si>
    <t>PRINCE COLD DRINKS</t>
  </si>
  <si>
    <t>D62111</t>
  </si>
  <si>
    <t>R.S MARKETING- MIRA RD</t>
  </si>
  <si>
    <t>SHOP NO 16,ACCORD CRYSTAL CHS,GCC CLUB MIRA ROAD EAST, 401104</t>
  </si>
  <si>
    <t xml:space="preserve">Mira Road East, </t>
  </si>
  <si>
    <t>D01738</t>
  </si>
  <si>
    <t>RAJWADI GENERAL STORE (VASAI E)</t>
  </si>
  <si>
    <t>GALA NO: 23,SUBH LAXMI SHOPPING CENTRE VASANT NAGRI,VASAI (EAST) 401202</t>
  </si>
  <si>
    <t>K05824</t>
  </si>
  <si>
    <t>RELIANCE RETAIL LIMITED</t>
  </si>
  <si>
    <t>OLD ICI COMPOUND FOSBERRY ROAD OFF REAY ROAD STATION EAST 400015</t>
  </si>
  <si>
    <t>Rabale, Navi Mumbai</t>
  </si>
  <si>
    <t>D01405</t>
  </si>
  <si>
    <t>ROYAL AGENCY (BHIWANDI)</t>
  </si>
  <si>
    <t>396/1,HARI SNRUTI BUILDING,AMBICA SAW- MILL COMPOUND,MAHAVEER ROAD,LBT-BNCMC0508019 421302</t>
  </si>
  <si>
    <t>Bhiwandi, Maharashtra</t>
  </si>
  <si>
    <t>D02493</t>
  </si>
  <si>
    <t>Rudra Agency</t>
  </si>
  <si>
    <t>PLOT NO-213,SHOP NO.01,NEAR GAONDEVI MANDIR YASHWANT SOCIETY,AMBARNATH (E) 421502</t>
  </si>
  <si>
    <t>D02086</t>
  </si>
  <si>
    <t>S &amp; S ENTERPRISE - VIRAR-W</t>
  </si>
  <si>
    <t>Virar (W), Maharashtra</t>
  </si>
  <si>
    <t>D02510</t>
  </si>
  <si>
    <t>S R DISTRIBUTOR</t>
  </si>
  <si>
    <t>SHOP NO 2,MARVEL NEAR GANGA COMPLEX, SANGHAVI COMPLEX,MIRA RD 401104</t>
  </si>
  <si>
    <t>K07137</t>
  </si>
  <si>
    <t xml:space="preserve">S.R ENTERPRISES </t>
  </si>
  <si>
    <t>FOOD WAY, KHALAPUR  TOLL PLAZA 410202</t>
  </si>
  <si>
    <t>D62100</t>
  </si>
  <si>
    <t>S.B TRADERS</t>
  </si>
  <si>
    <t>ENGLISH SCHOOL,NEAR AKRAM MASJID AMRUT NAGAR,MUMBRA 400612</t>
  </si>
  <si>
    <t>Mumbra</t>
  </si>
  <si>
    <t>K05935</t>
  </si>
  <si>
    <t>S.K.FOODS</t>
  </si>
  <si>
    <t>D-76A,GR. FLOOR. VASHI PLAZA SEC-17 VASHI NAVI MUMBAI 400703</t>
  </si>
  <si>
    <t>Vashi</t>
  </si>
  <si>
    <t>D02541</t>
  </si>
  <si>
    <t>S.S ENTERPRISES</t>
  </si>
  <si>
    <t>S.P MISHRA &amp; BROTHER'S HOUSE,KAPURBAWADI NAKA G.B ROAD,THANE WEST 400601</t>
  </si>
  <si>
    <t>D02430</t>
  </si>
  <si>
    <t>SAHIL ENTERPRISES(REVDANDA)</t>
  </si>
  <si>
    <t>REVDANDA BAZAARPETH,PARNAKA, REVDANDA,TAL.ALIBAUG,DIST.RAIGAD 402202</t>
  </si>
  <si>
    <t>Revdanda, Maharashtra</t>
  </si>
  <si>
    <t>D62143</t>
  </si>
  <si>
    <t>SAHER AGENCY</t>
  </si>
  <si>
    <t>AT GANGA NAGAR,POST NERAL,TAL KARJAT,DISTD RAIGARH 410201</t>
  </si>
  <si>
    <t>D62160</t>
  </si>
  <si>
    <t>SAI GANESH AQUA ENTERPRISES CORPORATE</t>
  </si>
  <si>
    <t>SHOP NO 01,NEW GHARKUL CHS, SEC- 1E,KALAMBOLI,RAIGAD 410218</t>
  </si>
  <si>
    <t>Kalamboli, Maharashtra</t>
  </si>
  <si>
    <t>D02554</t>
  </si>
  <si>
    <t>SAI PADMAVATI ENTERPRISES</t>
  </si>
  <si>
    <t>MAJID NAKA AT POST TAL. WALA DIST. PALGHAR 421303</t>
  </si>
  <si>
    <t>Wada, Maharashtra</t>
  </si>
  <si>
    <t>D62120</t>
  </si>
  <si>
    <t>SAKHI ENTERPRISES</t>
  </si>
  <si>
    <t>SHOP NO 4,FLOOR NO GR,BUILDING,SAMARPAN BLDG CHS LTD,BLOCK SECTOR, 401104</t>
  </si>
  <si>
    <t>Mira Road East</t>
  </si>
  <si>
    <t>D02622</t>
  </si>
  <si>
    <t>SAMRUDHI ENTERPRISES</t>
  </si>
  <si>
    <t>H.N 877,GALA NO A &amp; B,NEAR VIDHYAPATH ROAD AT POST,LONERI TAL MANGAON 402103</t>
  </si>
  <si>
    <t>D01321</t>
  </si>
  <si>
    <t>SANTKRIPA DUGHDHALAY(KALYAN-E)</t>
  </si>
  <si>
    <t>GODAVARI BLDG,SHOP NO:4,LOKGRAM NETIVALI,KALYAN-EAST. 421306</t>
  </si>
  <si>
    <t>Kalyan (East), Maharashtra</t>
  </si>
  <si>
    <t>D00077</t>
  </si>
  <si>
    <t>SATNAM AGENCY (PALGHAR)</t>
  </si>
  <si>
    <t>11,SAI ASHIRWAD BLDG,NR PIMPLE BLDG AMBMATA RD,PALGHAR 401404</t>
  </si>
  <si>
    <t>Palghar, Maharashtra</t>
  </si>
  <si>
    <t>D02563</t>
  </si>
  <si>
    <t>SHARDHA ENTERPRISES- THANE CITY</t>
  </si>
  <si>
    <t>A WING,SHOP NO 6,ANUPAM SOCEITY,OPP LIC BLDG HAJURI DARGAH RD,WAGLE ESTATE,THANE W 400604</t>
  </si>
  <si>
    <t>Thane West</t>
  </si>
  <si>
    <t>D02168</t>
  </si>
  <si>
    <t>SHAYAMA ENTERPRISES (GHANSOLI)</t>
  </si>
  <si>
    <t>SHOP # 4SHREE KRISHANA MAHESHWAR PD APARTMENT SECTOR 16 GHANSOLI 400701</t>
  </si>
  <si>
    <t>D01804</t>
  </si>
  <si>
    <t>SHEENA AGENCY - (KALYAN WEST)</t>
  </si>
  <si>
    <t>SHOP NO.2,SHIVARTH BLDG. SHIAMBHAV SOCIETY,5 RAMBAUG, 421301</t>
  </si>
  <si>
    <t>D01747</t>
  </si>
  <si>
    <t>SHIV SAI ENTERPRISES (BHIWANDI-KALHER)</t>
  </si>
  <si>
    <t>120,ARIHANT COMMERCIAL COMPLEX PURNA VILLAGE 421302</t>
  </si>
  <si>
    <t>Kalher, Maharashtra</t>
  </si>
  <si>
    <t>D02847</t>
  </si>
  <si>
    <t>SHIVANSH ENTERPRISES-SHOPPEE</t>
  </si>
  <si>
    <t>SHOP NO 10,BALU DYRE CHOWK,MANJARLI VALVALI GAON RD,BADLAPUR WEST 421503</t>
  </si>
  <si>
    <t>Badlapur, Maharashtra</t>
  </si>
  <si>
    <t>D00911</t>
  </si>
  <si>
    <t>SHRADDHA ENTERPRISES(NALASOPARA-E)</t>
  </si>
  <si>
    <t>SHOP NO.1,TRUPATI APPT. DON LANE, ACHOLE ROAD,NALASOPARA-E 401203</t>
  </si>
  <si>
    <t>D02539</t>
  </si>
  <si>
    <t>SHRAVANI COMMUNICATION</t>
  </si>
  <si>
    <t>OPP KOLAD RAILWAY STATION KOLAD 402304</t>
  </si>
  <si>
    <t>Kolhad, Maharashtra</t>
  </si>
  <si>
    <t>D00315</t>
  </si>
  <si>
    <t>SHREE BALAJI TRADING CO.(BADLAPUR)</t>
  </si>
  <si>
    <t>D02446</t>
  </si>
  <si>
    <t>SHREE DATTAKRUPA ENTERPRISES (KHARGHAR)</t>
  </si>
  <si>
    <t>A.T.KHUTUK BHANDAR, P.O.KHARGHAR,TAL-PANVEL,DIST-RAIGAD, 410210</t>
  </si>
  <si>
    <t>D62161</t>
  </si>
  <si>
    <t>D62169</t>
  </si>
  <si>
    <t>SHREE GANESH SALES AGENCY</t>
  </si>
  <si>
    <t>SHREE GANESH ENTERPRISES</t>
  </si>
  <si>
    <t>SHOP NO 01,DURVANKAR APT,PLOT NO 46, SEC NO 02,TALOJA PHASE -1 410208</t>
  </si>
  <si>
    <t>Taloja, Maharashtra</t>
  </si>
  <si>
    <t>D00584</t>
  </si>
  <si>
    <t>SHREE KRIPA AGENCIES(NERAL)</t>
  </si>
  <si>
    <t>NEAR OLD POLICE STN. PADA ROAD, AMBIKA BHAVAN NAKA,NERAL 410101</t>
  </si>
  <si>
    <t>D02619</t>
  </si>
  <si>
    <t>SHREYAN WATER SOLUTION</t>
  </si>
  <si>
    <t>H NO.881/B,MARI AAI MANDIR BAMADONGI VILLAGE,ULWE 410206</t>
  </si>
  <si>
    <t>Ulwe, Maharashtra</t>
  </si>
  <si>
    <t>D62150</t>
  </si>
  <si>
    <t>SHRI KULSWAMINI ENTERPRISES</t>
  </si>
  <si>
    <t>AT YELAWADE,POST SHIRVALI, TAL MANGOAN,DIST RAIGAD 402120</t>
  </si>
  <si>
    <t>D02495</t>
  </si>
  <si>
    <t>SHREE SIDDHIVINAYAK ENTERPRISES ( NAVI MUMBAI)</t>
  </si>
  <si>
    <t>SHOP NO1,BALAJI DARSHAN BLDG , PLOT NO 15 SECTOR 44A ,SEAWOOD WEST ,NAVI MUMBAI. 400706</t>
  </si>
  <si>
    <t>D02488</t>
  </si>
  <si>
    <t>SHREE SIDDHIVINAYAK ENTERPRISES (VIRAR WEST)</t>
  </si>
  <si>
    <t>OM SHREE GREEN PARK SHOP NO 6,PADMAVATI NAGAR BOLINJ VIRAR WEST 401303</t>
  </si>
  <si>
    <t>D50400</t>
  </si>
  <si>
    <t>SHREE TARAK ENTERPRISES</t>
  </si>
  <si>
    <t>SHOP NO 2,SIDDHIVINAYAK CHS,GANESH NAGAR NAIGON EAST, 401208</t>
  </si>
  <si>
    <t>Naigon East</t>
  </si>
  <si>
    <t>D02443</t>
  </si>
  <si>
    <t>HOUSE NO.406,AT-PENDHAR, POST NAWADE,DIST.RAIGAD, 410208</t>
  </si>
  <si>
    <t>Nawade, Maharashtra</t>
  </si>
  <si>
    <t>D02427</t>
  </si>
  <si>
    <t>SHRI SIDDHESH PRODUCTS(KURUL-ALIBAUG)</t>
  </si>
  <si>
    <t>AT POST KURUL,TAL - ALIBAUG,DIST - RAIGAD RAIGAD. 402201</t>
  </si>
  <si>
    <t>D02613</t>
  </si>
  <si>
    <t>SHUBHAM ENTERPRISE</t>
  </si>
  <si>
    <t>SHOP NO 2/A,PLOT NO 84/86,SEC-29,AGROLI VILLAGE CBD BELAPUR,NAVI MUMBAI 400614</t>
  </si>
  <si>
    <t>D02492</t>
  </si>
  <si>
    <t>SP MINERALS- ULWE</t>
  </si>
  <si>
    <t>SHOP NO 2,ORCHID,PLOT NO 31, SECTOR 20,ULWE,NAVI MUMBAI 410206</t>
  </si>
  <si>
    <t>D02544</t>
  </si>
  <si>
    <t>STAR AGENCY-TITWALA</t>
  </si>
  <si>
    <t>Titwala, Maharashtra</t>
  </si>
  <si>
    <t>D02098</t>
  </si>
  <si>
    <t>SUGAN ENTERPRISES (MIRA ROAD-E)</t>
  </si>
  <si>
    <t>SHOP NO 9,POONAM SAGAR COMPLEX, AARZOO APARTMENT,MIRA RD 401104</t>
  </si>
  <si>
    <t>D02436</t>
  </si>
  <si>
    <t>SUPRIYA ENTERPRISES (WADWAL)</t>
  </si>
  <si>
    <t>POST: DONVAT,TAL: KHALAPUR DIST: RAIGAD 410202</t>
  </si>
  <si>
    <t>Khopoli, Maharashtra</t>
  </si>
  <si>
    <t>D02432</t>
  </si>
  <si>
    <t>SWARUPA AGENCY (TASGAON-RAIGAD)</t>
  </si>
  <si>
    <t>M. TASGAON POSTVILLE,TALUKA MANGAON RAIGAD 402301</t>
  </si>
  <si>
    <t>DTH1000</t>
  </si>
  <si>
    <t>TAMBOLI TRADERS- PALGHAR</t>
  </si>
  <si>
    <t>MASJID MARKET,TARPE CHOWK,A/P JAWHAR,DISTRICT PALGHAR 401501</t>
  </si>
  <si>
    <t>Palghar</t>
  </si>
  <si>
    <t>D02771</t>
  </si>
  <si>
    <t>TAYAL DISTRIBUTORS</t>
  </si>
  <si>
    <t>SHOP NO 17,BUIDLING NO 9,AGARWAL AND DOSHI COMPLEX,KAUL HERITAGE,BHABOLA VASAI W 401202</t>
  </si>
  <si>
    <t>D62121</t>
  </si>
  <si>
    <t>TRIO WATER AND BEVERAGES SERVICES</t>
  </si>
  <si>
    <t>405,305,SAYANDHI HEIGHTS,APO- DHISH BAR &amp; RESTO,BOLINJ ROAD 401303</t>
  </si>
  <si>
    <t>Virar West</t>
  </si>
  <si>
    <t>D01815</t>
  </si>
  <si>
    <t>VAISHALI AGENCY (VANGANI)</t>
  </si>
  <si>
    <t>Shahapur</t>
  </si>
  <si>
    <t>D62186</t>
  </si>
  <si>
    <t>VIRA INVESTMENT &amp; TRADING CO.</t>
  </si>
  <si>
    <t>05,1ST FLOOR,D.S COMPLEX,NR ,MARUTI MANDIR VASIND WEST,TAL: SHAHAPUR 421601</t>
  </si>
  <si>
    <t>D02426</t>
  </si>
  <si>
    <t>VIRAJ DISTRIBUTORS(POYNAD-ALIBAUG)</t>
  </si>
  <si>
    <t>AMBEPUR BANDHAN ,POST/POYNAD TAL-ALIBAUG DIST- RAIGAD 402201</t>
  </si>
  <si>
    <t>Poynad, Maharashtra</t>
  </si>
  <si>
    <t>K08989</t>
  </si>
  <si>
    <t>VIRAT FOODS</t>
  </si>
  <si>
    <t>MUMBAI PUNE EXPRESS WAY,SATGAON TAL - KHALAPUR,DIST RAIGAD 410202</t>
  </si>
  <si>
    <t>D02043</t>
  </si>
  <si>
    <t>VIRAJ MARKETING (BHAYANDER-W)</t>
  </si>
  <si>
    <t>SHOP NO.1,B-WING,DEVASHISH BLDG, OPP.POLICE STATION, 401101</t>
  </si>
  <si>
    <t>D02856</t>
  </si>
  <si>
    <t>957/A,PROP NO780,VIRENDRA NIWAS,SECTOR-19, KOPARKHAIRANE NAVI MUMBAI 400705</t>
  </si>
  <si>
    <t>Koparkairne, Maharashtra</t>
  </si>
  <si>
    <t>D02586</t>
  </si>
  <si>
    <t>YASH ENTERPRISES</t>
  </si>
  <si>
    <t>GALA NO.568,GANESH CHAWL,MUKUND COMPANYM, RAM NAGAR,DIGHA,NAVI MUMBAI 400708</t>
  </si>
  <si>
    <t>Pawane</t>
  </si>
  <si>
    <t>K07379</t>
  </si>
  <si>
    <t>YASH ENTERPRISES -THANE</t>
  </si>
  <si>
    <t>ROOM NO 171,NEAR DUTTA MANDIR KALYAN SHILL PHATA 400407</t>
  </si>
  <si>
    <t>shilphata</t>
  </si>
  <si>
    <t>DTH0895</t>
  </si>
  <si>
    <t>YOGITA ENTERPRISES (MIRA ROAD)</t>
  </si>
  <si>
    <t>SHOP NO 1,A WING,SURYA ORCHID,BEVERLY PARK,OPP WOODLAND HOTEL,MIRA RD E,THANE 4001107 401107</t>
  </si>
  <si>
    <t>Mira Road</t>
  </si>
  <si>
    <t>D02810</t>
  </si>
  <si>
    <t>STREET SIDE SUPER MARKET- SHOPPEE</t>
  </si>
  <si>
    <t>SIDE SUPER MARKET,UNIT NO,1,2,3,4,GROUND FLR, CLUSTER URBAN-2,DOWN TOWN KHONI,DOMBIVALI EAST 421204</t>
  </si>
  <si>
    <t>D02863</t>
  </si>
  <si>
    <t>ASHRAF COLD DRINKS</t>
  </si>
  <si>
    <t>SHOP NO 03, A WING, GRIB NAWAZ, BLDG, DATTU WADI MUMBAU, THANE 400612</t>
  </si>
  <si>
    <t>ALWAYS FRESH</t>
  </si>
  <si>
    <t>D02897</t>
  </si>
  <si>
    <t>S.R ENTERPRISES</t>
  </si>
  <si>
    <t>D02865</t>
  </si>
  <si>
    <t>MANAS ENTERPRIISES</t>
  </si>
  <si>
    <t>A TO Z</t>
  </si>
  <si>
    <t>SHREE GANESH AGENCY</t>
  </si>
  <si>
    <t>K10465</t>
  </si>
  <si>
    <t>YASH TRADING</t>
  </si>
  <si>
    <t>NEAR NATIONAL HOSPITAL,KALA TALAV, KALYAN</t>
  </si>
  <si>
    <t>B/206,  HARDWAR CHS,NEAR MAHESH PARK, TULINJ RD</t>
  </si>
  <si>
    <t>VIRENDRA ENTEPRISSES</t>
  </si>
  <si>
    <t>D02938</t>
  </si>
  <si>
    <t>SHIVANSH ENTERPRISES- FFD</t>
  </si>
  <si>
    <t>SOP NO 01, TODAY CATLISTO, PLOT NO 260, SECTOR- 17</t>
  </si>
  <si>
    <t xml:space="preserve">ULWE </t>
  </si>
  <si>
    <t>D02945</t>
  </si>
  <si>
    <t>ZAM ZAM ENTERPRISES-FFD</t>
  </si>
  <si>
    <t>FLAT NO 401, 4TH FLOOR, GALA NO 10, SAMAD NAGAR</t>
  </si>
  <si>
    <t>KANERI, BHIWANDI</t>
  </si>
  <si>
    <t>D02946</t>
  </si>
  <si>
    <t>DAVA DESIRE MULTITRADE PRIVATE LIMITED</t>
  </si>
  <si>
    <t>PARAG VILLA, NANDIVALI RD</t>
  </si>
  <si>
    <t>DOMBIVALI EAST</t>
  </si>
  <si>
    <t>URAN</t>
  </si>
  <si>
    <t>SHOP NO 2, RAJESH KALURAM BHAGAS CHAKAD NOPADA GAON, TAL PANVEL, DIST-RAIGAD,</t>
  </si>
  <si>
    <t>KAMOTHE</t>
  </si>
  <si>
    <t>D02915</t>
  </si>
  <si>
    <t>SRUSHTI ENTERPRISES</t>
  </si>
  <si>
    <t>Ambarnath</t>
  </si>
  <si>
    <t>K10209</t>
  </si>
  <si>
    <t>HARDCASTLE RESTAURANTS PVT LTD</t>
  </si>
  <si>
    <t>D62136</t>
  </si>
  <si>
    <t>D02940</t>
  </si>
  <si>
    <t xml:space="preserve">BUILDING NO 7, FLAT NO 1002, JAIAN RESIDENCY, </t>
  </si>
  <si>
    <t>KALAMBOLI</t>
  </si>
  <si>
    <t>SHOP NO 3,4,5, SWASTIK APT, NATINGI BYPASS</t>
  </si>
  <si>
    <t>VIRAR EAST</t>
  </si>
  <si>
    <t>GHANSOLI S.O</t>
  </si>
  <si>
    <t>C06441</t>
  </si>
  <si>
    <t>VANGANI</t>
  </si>
  <si>
    <t>RELIANCE CORPORATE PARK, 5,TTC INDUSTRIAL AREA,THANE BELAPUR ROAD,</t>
  </si>
  <si>
    <t>K10122</t>
  </si>
  <si>
    <t>IKEA INDIA PRIVATE LIMITED</t>
  </si>
  <si>
    <t>PLOT NO 15-15A-C, VILL TURBE AND PAWANA,MUMBAI STORE LAND, MIDC TTC INDL ESTATE AREA</t>
  </si>
  <si>
    <t xml:space="preserve"> TURBE</t>
  </si>
  <si>
    <t>D00399</t>
  </si>
  <si>
    <t>SODEXO INDIA SERVICES PRIVATE LIMITED-KALAMBOLI</t>
  </si>
  <si>
    <t>PLOT NO.1,SECTOR -KWC,TAL-PANVEL,DIST - RAIGAD,KALAMBOLI</t>
  </si>
  <si>
    <t>Nhava Sheva</t>
  </si>
  <si>
    <t>D02953</t>
  </si>
  <si>
    <t>GOLDEN BAKERY</t>
  </si>
  <si>
    <t>D02778</t>
  </si>
  <si>
    <t>METRO</t>
  </si>
  <si>
    <t>SHOP NP D/02,SALASAR AANAN,KANAKIYA ROAD,RONAK HOTEL,MIRA ROAD,T HANE</t>
  </si>
  <si>
    <t>MIRA ROAD</t>
  </si>
  <si>
    <t>D02947</t>
  </si>
  <si>
    <t>SAI SHRADDHA AGENCY</t>
  </si>
  <si>
    <t>SHOP NO 13, KAILESH TOWER, NEAR D MART, YESHWANT VIVA TOWNSHIP, NALLASOPARA E</t>
  </si>
  <si>
    <t xml:space="preserve">NALLASOPARA  - E </t>
  </si>
  <si>
    <t>D02921</t>
  </si>
  <si>
    <t>TUHI NIRANKAR ENTERPRISES</t>
  </si>
  <si>
    <t>K10592</t>
  </si>
  <si>
    <t>VICKY FOODS</t>
  </si>
  <si>
    <t>GODOWN NO 4/B CENTRAL WAREHOUSING CORPORATION , SEC- 20, APMC FRUIT MARKET, NR TURBE RLY STN WEST,</t>
  </si>
  <si>
    <t>TURBE</t>
  </si>
  <si>
    <t>C05171</t>
  </si>
  <si>
    <t>SAI KRIPA FOOD SERVICES PVT LTD-MULUND</t>
  </si>
  <si>
    <t>RAJA INDUSTRIAL ESTATE,GALA NO 3/4,GROUND FLOOR , NEAR INDRAPRASHT,MUMBAI, Mulund (West)</t>
  </si>
  <si>
    <t>VASHI</t>
  </si>
  <si>
    <t xml:space="preserve">SHOP NO 3, DARSH PALACE, SANTOSH NAGAR,Amber Plaza Party Hall, BOMBAY COLONY, DAHISAR </t>
  </si>
  <si>
    <t xml:space="preserve"> THANE</t>
  </si>
  <si>
    <t>D02961</t>
  </si>
  <si>
    <t>LEXICON EXIM</t>
  </si>
  <si>
    <t>BELAPUR</t>
  </si>
  <si>
    <t>K09873</t>
  </si>
  <si>
    <t>AT  POST SAJGAON ,FOOD WAY,KHALAPUR</t>
  </si>
  <si>
    <t>KHALAPUR</t>
  </si>
  <si>
    <t>GLOBAL ENTERPRISES</t>
  </si>
  <si>
    <t>K10379</t>
  </si>
  <si>
    <t>GOOD VIBES SUPERSTORE LLP</t>
  </si>
  <si>
    <t>FORT</t>
  </si>
  <si>
    <t>INNOVATIVE RETAIL CONCEPTS PRIVATE LIMITED</t>
  </si>
  <si>
    <t>ANDHERI</t>
  </si>
  <si>
    <t>SHREE SAI ENTERPRISES (TALOJA PHASE 2)</t>
  </si>
  <si>
    <t>K10577</t>
  </si>
  <si>
    <t>SHREE SUKHSAGAR HOPITALITY SERVICES</t>
  </si>
  <si>
    <t>H NO 1068, SHOP 3/4.MAYUR APPARTMENT, SEC-5,</t>
  </si>
  <si>
    <t>KOPERKHAIRANE</t>
  </si>
  <si>
    <t>GOVANDI</t>
  </si>
  <si>
    <t>Distance from KANDIVALI</t>
  </si>
  <si>
    <t xml:space="preserve">Vasai East </t>
  </si>
  <si>
    <t xml:space="preserve">Ghansoli </t>
  </si>
  <si>
    <t xml:space="preserve">Kalyan </t>
  </si>
  <si>
    <t xml:space="preserve">Miraroad </t>
  </si>
  <si>
    <t xml:space="preserve">Pen </t>
  </si>
  <si>
    <t xml:space="preserve">Vajreshwari </t>
  </si>
  <si>
    <t>D02889</t>
  </si>
  <si>
    <t>RAHUL AGENCY</t>
  </si>
  <si>
    <t>AT VAUSHET TAL ALIBAG</t>
  </si>
  <si>
    <t>D02967</t>
  </si>
  <si>
    <t xml:space="preserve">NATIONAL PRODUCTS COMMERCIAL </t>
  </si>
  <si>
    <t>BHIWANDI</t>
  </si>
  <si>
    <t>C04590</t>
  </si>
  <si>
    <t>SCOOTSY LOGISTICS PRIVATE LIMITED</t>
  </si>
  <si>
    <t>Ground Floor, Unit No.001, Marwah House, Krishanla,Marwah Marg, Andheri East, Mumbai . Office add</t>
  </si>
  <si>
    <t>K07612</t>
  </si>
  <si>
    <t>AVENUE SUPER MARTS LTD -BOISAR</t>
  </si>
  <si>
    <t>BOISAR D-MART MIDC BOISAR,</t>
  </si>
  <si>
    <t>BOISAR</t>
  </si>
  <si>
    <t>SHOP NO 1647 B,POST -CHIRNER,TALUKA- URAN DISTRICT RAIGARH 410206</t>
  </si>
  <si>
    <t xml:space="preserve">Uran </t>
  </si>
  <si>
    <t>SHOP NO 2 YAMUNA COMPLEX,RAILWAY STATION ROAD PANVEL 410206</t>
  </si>
  <si>
    <t>New Panvel, Maharashtra</t>
  </si>
  <si>
    <t>SHOP NO 3,PLOT NO 90,SECTOR NO 10, KHARGHAR 410210</t>
  </si>
  <si>
    <t>SHOP NO 8,RAJKAMAL MAKET SEC-10,NERUL WEST, 400706</t>
  </si>
  <si>
    <t>Nerul, Maharashtra</t>
  </si>
  <si>
    <t>D02969</t>
  </si>
  <si>
    <t>TRISHA ENTERPRISES</t>
  </si>
  <si>
    <t>D02971</t>
  </si>
  <si>
    <t>SHOUHAL ENTERPRISES</t>
  </si>
  <si>
    <t>Thane W</t>
  </si>
  <si>
    <t>PANVEL</t>
  </si>
  <si>
    <t>PLOT NO.1,SECTOR -KWC,TAL-PANVEL,DIST - RAIGAD,KALAMBOL</t>
  </si>
  <si>
    <t>RAJA INDUSTRIAL ESTATE,GALA NO 3/4,GROUND FLOOR , NEAR INDRAPRASHT,MUMBAI, Mulund (West</t>
  </si>
  <si>
    <t>D02975</t>
  </si>
  <si>
    <t>SDM ENTERPRISES</t>
  </si>
  <si>
    <t>SHOP NO 2, TULSI SAROVAR, CHS LTD, PLOT NO 70,  SECTOR 34, KAMOTHE,PANVEL</t>
  </si>
  <si>
    <t>D02973</t>
  </si>
  <si>
    <t>YASH ENTERPRISES (BHAYANDER)</t>
  </si>
  <si>
    <t xml:space="preserve">SHOP NO 3, OM HEMA RESIDENCY CHS LTD, AMRUTVANI, RD, BEHIND MEXUS MALL, </t>
  </si>
  <si>
    <t>BHAYANDER WEST</t>
  </si>
  <si>
    <t>D02976</t>
  </si>
  <si>
    <t xml:space="preserve">M.J ENTERPRISES </t>
  </si>
  <si>
    <r>
      <t xml:space="preserve">SAI NAGAR </t>
    </r>
    <r>
      <rPr>
        <b/>
        <sz val="10"/>
        <color theme="1"/>
        <rFont val="Calibri Light"/>
        <family val="2"/>
        <scheme val="major"/>
      </rPr>
      <t>BHADWAD GOAN</t>
    </r>
    <r>
      <rPr>
        <sz val="10"/>
        <color theme="1"/>
        <rFont val="Calibri Light"/>
        <family val="2"/>
        <scheme val="major"/>
      </rPr>
      <t xml:space="preserve">, NR CHATRAPATI SHIVAJI MAHARAJ GRD,   </t>
    </r>
  </si>
  <si>
    <t>K09599</t>
  </si>
  <si>
    <t>K10924</t>
  </si>
  <si>
    <t>AVENUE SUPERMARTS LTD-ULHASNAGAR</t>
  </si>
  <si>
    <t xml:space="preserve">ULHASNAGAR </t>
  </si>
  <si>
    <t>Sahney Compound Nausena Vihar Road, Khalai Village, Vidyavihar Society, Vidyavihar, Mumbai, Maharashtra</t>
  </si>
  <si>
    <t>K09303</t>
  </si>
  <si>
    <t>AVENUE SUPER MARTS LTD- BADLAPUR</t>
  </si>
  <si>
    <t>BARRAGE BADLAPUR WESTP D MART,BARRAGE ROAD KULGAON,KULGAON BADLAPUR</t>
  </si>
  <si>
    <t>BADLAPUR-W</t>
  </si>
  <si>
    <t>K06992</t>
  </si>
  <si>
    <t>AVENUE SUPERMARTS LTD.KALYAN JOKER CINEMA</t>
  </si>
  <si>
    <t>KALYNA WEST</t>
  </si>
  <si>
    <t>D02023</t>
  </si>
  <si>
    <t>BALAJI ENTERPRISES-TURBHE</t>
  </si>
  <si>
    <t>D02977</t>
  </si>
  <si>
    <t>MHATRE ENTERPRISES</t>
  </si>
  <si>
    <t>DOMBIVALI WEST</t>
  </si>
  <si>
    <t>TURBHE</t>
  </si>
  <si>
    <t>K11389</t>
  </si>
  <si>
    <t>P.K. MARKETING</t>
  </si>
  <si>
    <t>RAJLAXMI HI-TECH TEXTILE PARK, SURVERY NO. 17/4 &amp; ,&amp; 156/1 HOUSE NO.1811 GALA NO.C3 GRD FLR BHIWANDI</t>
  </si>
  <si>
    <t>K11390</t>
  </si>
  <si>
    <t>POOJA TRADING</t>
  </si>
  <si>
    <t>SURVEY NO. 202 HISSA NO 7/10 VILLAGE KONGAON TEL :- BHIWANDI</t>
  </si>
  <si>
    <t>K11392</t>
  </si>
  <si>
    <t>Tulsi Trading</t>
  </si>
  <si>
    <t>SURVEY NO. 212 PLOT NO 12/13 NEAR WATER TANK OPP PETROL PUMP KONGAON KALYAN</t>
  </si>
  <si>
    <t>K11391</t>
  </si>
  <si>
    <t>Ramsons Traders</t>
  </si>
  <si>
    <t>SURVEY NO. 79/2&amp; 82, VILLAGE ARIVWALI,NR SHETHIYA CRANES,OLD MUMBAI PUNE RD TAL. PANVEL DIST. RAIGAD</t>
  </si>
  <si>
    <t>K06406</t>
  </si>
  <si>
    <t>RADHA SOAMI SATSANG BEAS</t>
  </si>
  <si>
    <t>UTTAN ROAD,NEAR FLYOVER BRIDGE,BHYANDER WEST,</t>
  </si>
  <si>
    <t>BHYANDER W</t>
  </si>
  <si>
    <t>K11090</t>
  </si>
  <si>
    <t>KIRANAKART TECHNOLOGIES PVT LTD</t>
  </si>
  <si>
    <t>BUILDING NO-A-1 , Antriksh logidorm, Sape Village, Taluka Bhiwandi Dist- Thane</t>
  </si>
  <si>
    <t xml:space="preserve">BHYANDER </t>
  </si>
  <si>
    <t>D02984</t>
  </si>
  <si>
    <t>GREENFIELD SUPPLIERS</t>
  </si>
  <si>
    <t>EXPORT BLDG -G5-12, VEG MKT SECTOR 19 GRD FLR, TURBE VASHI</t>
  </si>
  <si>
    <t xml:space="preserve">TURBE </t>
  </si>
  <si>
    <t>D02988</t>
  </si>
  <si>
    <t>NANDKUMAR TRADERS</t>
  </si>
  <si>
    <t>DESAI ROAD AT POST TAL WADA DIST PALGHAR</t>
  </si>
  <si>
    <t>PALGHAR WADA</t>
  </si>
  <si>
    <t>D02990</t>
  </si>
  <si>
    <t>SHREE SAIBABA ENTERPRISES</t>
  </si>
  <si>
    <t>SHOP NO G-1 NEW SONALI CHSL TARKHAD KARDI VASAI VILLAGE VASAI EAST</t>
  </si>
  <si>
    <t>VASAI EAST</t>
  </si>
  <si>
    <t>K11545</t>
  </si>
  <si>
    <t>Padgha Maharashtra</t>
  </si>
  <si>
    <t>K11559</t>
  </si>
  <si>
    <t xml:space="preserve">TALOJA </t>
  </si>
  <si>
    <t>C/O ADANI AGRI LOGISTICS GRD FLR SURVEY NO 102/1- PANVEL RURAL RAIGARH</t>
  </si>
  <si>
    <t>D02989</t>
  </si>
  <si>
    <t>T.B KHATIB BROTHER'S</t>
  </si>
  <si>
    <t>AT POST NANDGAON TAL MURUD JANJIRA DIST , RAIGAD</t>
  </si>
  <si>
    <t>Alibaugh</t>
  </si>
  <si>
    <t>D02991</t>
  </si>
  <si>
    <t>SWAMI ENTERPRISES</t>
  </si>
  <si>
    <t>SPARSH CHS SHOP NO 5 PLOT NO 101-102 SECTOR NO 44 SEAWOOD NAVI MUMAI</t>
  </si>
  <si>
    <t>SEAWOOD</t>
  </si>
  <si>
    <t>D02979</t>
  </si>
  <si>
    <t>SHUBHAM AGENCY</t>
  </si>
  <si>
    <t>KALA SHREE BLDG PLOT NO B-84/86 SHOP NO 24, SECTOR 29 AGROLI CBD BELAPUR NAVI MUMBAI</t>
  </si>
  <si>
    <t>K10559</t>
  </si>
  <si>
    <t>Hands On Trades Private Limited</t>
  </si>
  <si>
    <t>D02997</t>
  </si>
  <si>
    <t>PICK AND CARRY SURPER MARKET</t>
  </si>
  <si>
    <t xml:space="preserve">SHREE KRPA CHS SEC-10 SHOP NO 2 KHARGHAR </t>
  </si>
  <si>
    <t xml:space="preserve">KHARGHAR </t>
  </si>
  <si>
    <t>D02996</t>
  </si>
  <si>
    <t>MS SHRAVYA ENTERPRISES</t>
  </si>
  <si>
    <t>H NO 1093 UNIT NO 002 YASHWANT K PATIL SEC- 23,OPP MAULI HEIGHT GHANSOLI NAVI MUMBAI</t>
  </si>
  <si>
    <t>GHANSOLI</t>
  </si>
  <si>
    <t>P.P ENTERPRISES</t>
  </si>
  <si>
    <t>D02995</t>
  </si>
  <si>
    <t>PLOT NO 276 RD NO 16/A NEAR BALAJI INFOTECH WAGLE ESTATE THANE WEST</t>
  </si>
  <si>
    <t>THANE (W)</t>
  </si>
  <si>
    <t>D03004</t>
  </si>
  <si>
    <t>KRISHNA ENTERPRISES</t>
  </si>
  <si>
    <t>RADHA NIVAWS RADHA NAGAR TULINJ NALASOPARA EAST</t>
  </si>
  <si>
    <t>NALASOPARA ( E )</t>
  </si>
  <si>
    <t>D03001</t>
  </si>
  <si>
    <t>UNITED ENTERPRISES-shoppee</t>
  </si>
  <si>
    <t>SHOP NO 9, GRD FLR BRHMAND PHASE 2, MANPADA THANE WEST</t>
  </si>
  <si>
    <t>MANPADA THANE ( W )</t>
  </si>
  <si>
    <t>K11484</t>
  </si>
  <si>
    <t>SHREE DISTRIBUTORS</t>
  </si>
  <si>
    <t>D03005</t>
  </si>
  <si>
    <t>A.N ENTERPRISES</t>
  </si>
  <si>
    <t>SHOP NO 10 PLOT NO 14 SATYAM BLDG MHADA PALGHAR, SALWAD CT, BOISAR</t>
  </si>
  <si>
    <t>Bhivandi</t>
  </si>
  <si>
    <t>D03006</t>
  </si>
  <si>
    <t>FOOD PLAZA SUPER MARKET</t>
  </si>
  <si>
    <t>SHOP NP E/6 PLOT NO 182 AHINSA GRUH NIRMAN PANVEL, RAIGARH NAVI MUMBAI</t>
  </si>
  <si>
    <t>K10117</t>
  </si>
  <si>
    <t>Reliance Retail Ltd.-BHIWANDI</t>
  </si>
  <si>
    <t>Richiand Commercial Hub, Building No. D6-A&amp;D6 , Nashik Highway. Nominee Vijay Bhikaji Kharmale Bhi</t>
  </si>
  <si>
    <t>D03009</t>
  </si>
  <si>
    <t>S.B ENTERPRISES</t>
  </si>
  <si>
    <t>SHAHAPUR</t>
  </si>
  <si>
    <t>SHOP NO 8 MURBAD SHAHAPUR RD NEAR BALAJI MOTOERS TAL SHAHAPUR DIST THANE</t>
  </si>
  <si>
    <t>D03000</t>
  </si>
  <si>
    <t>RADHA ENTERPRISES</t>
  </si>
  <si>
    <t>SHOP NO 38 BLD NO 8 OSTWAL ORCHID BLDG BEVERLY PARK KAHANI RD MIRA BHAYANDER RD EAST</t>
  </si>
  <si>
    <t>BHAYANDER E</t>
  </si>
  <si>
    <t>D00671</t>
  </si>
  <si>
    <t>DISTRIBUTION CENTRE,WAREHOUSE NOS 77 &amp;  80,INDIAN CORPORATION DAPODA RD,MANKOLI NAKA</t>
  </si>
  <si>
    <t>D03003</t>
  </si>
  <si>
    <t>ANNAPURNA AGENCIES</t>
  </si>
  <si>
    <t>NEW SONAL CHS LTD,SHOP NO 4 TORKAD VASAI WEST</t>
  </si>
  <si>
    <t>VASAI ( W )</t>
  </si>
  <si>
    <t>D03016</t>
  </si>
  <si>
    <t xml:space="preserve">A.G ENTERPRISES </t>
  </si>
  <si>
    <t xml:space="preserve">ROAD NO 18, NEAR TOYOTA COMPANY WAGLW ESTATE </t>
  </si>
  <si>
    <t xml:space="preserve">THANE </t>
  </si>
  <si>
    <t>D03017</t>
  </si>
  <si>
    <t>SARA AGENCY</t>
  </si>
  <si>
    <t>GALA NO 3,1777 AL MUNEER APT, SUBHASH NAGAR ,NAVI PADA RD BHIWANDI</t>
  </si>
  <si>
    <t>Rich Land Commercial bldg, B9, Gala No 1 TO 12, Vadpe Village, Mumbai Nashik Highway, Bhiwandi</t>
  </si>
  <si>
    <t>D02999</t>
  </si>
  <si>
    <t>R.M RETAIL MART VEG -BOXX-(SHOPPEE)</t>
  </si>
  <si>
    <t>UNIT NO 7, GRD FLR CASE ELIGHT BLDG LAKESHORE GREEN PLAWA PHASE 11 KHONI DOMBIVALI</t>
  </si>
  <si>
    <t>DOMBIVALI</t>
  </si>
  <si>
    <t>D03013</t>
  </si>
  <si>
    <t>RUDRADAKSH ENTERPRISES</t>
  </si>
  <si>
    <t>SHOP NO 3 IRISH APT CENTRAL PARK TULINJ ,NALLASOPARA EAST</t>
  </si>
  <si>
    <t>NALLASOPARA  (E )</t>
  </si>
  <si>
    <t>D03021</t>
  </si>
  <si>
    <t>BHAGWATI ENTERPRISES</t>
  </si>
  <si>
    <t>NEELKANTH HEIGHT SHOP NO 23 PLOT  NO 12 &amp;13,SEC 8 GHANSOLI NAVI MUMBAI</t>
  </si>
  <si>
    <t>Distance from Khopoli</t>
  </si>
  <si>
    <t>LAVISTA PLOT NO.256/257, SHOP NO.4,SEC-10 Khargar, 410210</t>
  </si>
  <si>
    <t>C/0 RADHA KRISHNA FOODLAND PVT LTD,FOOD PARK  PLOT NO 1, SECTOR- AWC, ROAD PALI NAK KALAMBOLI</t>
  </si>
  <si>
    <r>
      <t xml:space="preserve">SHOP NO-1,2,3 , HOUSE NO-877 </t>
    </r>
    <r>
      <rPr>
        <b/>
        <sz val="11"/>
        <color theme="1"/>
        <rFont val="Calibri"/>
        <family val="2"/>
        <scheme val="minor"/>
      </rPr>
      <t>NILKANTHESWAR MANDIR VAVANJE</t>
    </r>
    <r>
      <rPr>
        <sz val="11"/>
        <color theme="1"/>
        <rFont val="Calibri"/>
        <family val="2"/>
        <scheme val="minor"/>
      </rPr>
      <t>,TAL-PANVEL.</t>
    </r>
  </si>
  <si>
    <t>D02183</t>
  </si>
  <si>
    <t>TRENT HYPERMARKET PRIVATE LIMITED</t>
  </si>
  <si>
    <t>THL BHIWANDI,C/O  PART A4 PART ACORN WAREHOUSE &amp; LOGIST</t>
  </si>
  <si>
    <t>D02772</t>
  </si>
  <si>
    <t>YASHPAL ENTERPRISES</t>
  </si>
  <si>
    <t>VIRAR ( E )</t>
  </si>
  <si>
    <t>K11994</t>
  </si>
  <si>
    <t>KESHWANI PROVISION STORE</t>
  </si>
  <si>
    <t xml:space="preserve">NR. GOVENMENT REST HOUSE AT PATLI  PADA TALASARI DIST PALGHAR </t>
  </si>
  <si>
    <t xml:space="preserve">PALGHAR </t>
  </si>
  <si>
    <t>Reliance Retail Ltd.Khalapur Raigad</t>
  </si>
  <si>
    <t xml:space="preserve">Shed No. 100,At Indospace Industrial &amp; Logistic Park, Khopoli II, Village - Ajivali Nominee </t>
  </si>
  <si>
    <t>C07428</t>
  </si>
  <si>
    <t>DERIVE TRADING &amp; RESORTS PVT LTD</t>
  </si>
  <si>
    <t>(RADISSON BLU RESORT &amp; SPA) ALIBAUG, GONDAL PADA, RAIGAD MAHARASHTRA</t>
  </si>
  <si>
    <t>ALIBAUG</t>
  </si>
  <si>
    <t>MURBAD</t>
  </si>
  <si>
    <t>Reay Road Sewri</t>
  </si>
  <si>
    <t xml:space="preserve">Rabale </t>
  </si>
  <si>
    <t>SHREE GANESH ENTERPRISES (TALOJA)</t>
  </si>
  <si>
    <t>D03025</t>
  </si>
  <si>
    <t>SHREEJI FOODS &amp; COLD DRINKS</t>
  </si>
  <si>
    <t>GALA NO 3 &amp; 4, GANESH NAGAR GATE NO 1, KARANJE RD, TAL URAN, DIST RAIGAD</t>
  </si>
  <si>
    <t>D02993</t>
  </si>
  <si>
    <t xml:space="preserve">GREEN APPLE FRUITS AND VEGETABLE </t>
  </si>
  <si>
    <t>SHOP NO 4 CLUSTER MLCP SURVEY NO65 ANJUR RD, MANKOLI VILLAGE OPP ASSOCIATED SAW MILL BHIWANDI</t>
  </si>
  <si>
    <t>PEER BABA ENTERPRISES</t>
  </si>
  <si>
    <t>D03080</t>
  </si>
  <si>
    <t>DHUMAL RESIDENCY, NEAR LG SHOP GHOTEGHAR, SHAHAPUR -DIST -THANE</t>
  </si>
  <si>
    <t xml:space="preserve">SHAHAPUR </t>
  </si>
  <si>
    <t>D03086</t>
  </si>
  <si>
    <t>MUKTAI ENTERPRISES</t>
  </si>
  <si>
    <t>SHOP NO 4, VARDHAMAN PLAZA ROAD PALI KALAMBOLI</t>
  </si>
  <si>
    <t>D03081</t>
  </si>
  <si>
    <t>LAXMI ENTERPRISES</t>
  </si>
  <si>
    <t>SHOP NO 03, CHINTAMANI SOCIETY , SECTOR NO 26 VASHI NAVI MUMBAI</t>
  </si>
  <si>
    <t>vasai</t>
  </si>
  <si>
    <t>D03091</t>
  </si>
  <si>
    <t>PARAB COLDDRINK</t>
  </si>
  <si>
    <t>DIVA (E)</t>
  </si>
  <si>
    <t>D03095</t>
  </si>
  <si>
    <t>SAINATH ENTERPRISES</t>
  </si>
  <si>
    <t>D03084</t>
  </si>
  <si>
    <t>JAY MATA DI ENTERPRISES</t>
  </si>
  <si>
    <t>HOUSE NO. 0768. OWE PETH PANVEL</t>
  </si>
  <si>
    <t>K12279</t>
  </si>
  <si>
    <t>RK BAZAR PRIVATE LIMITED</t>
  </si>
  <si>
    <t>GALA NO 15,16 VASANT PATIL COMPOUND, BEHIND , SARPANCH OFFICE SONARPADA, DOMBIVALI</t>
  </si>
  <si>
    <t xml:space="preserve"> DOMBIVALI</t>
  </si>
  <si>
    <t>D03094</t>
  </si>
  <si>
    <t>K.K DISTRIBUTOR</t>
  </si>
  <si>
    <t>VIRAR (E )</t>
  </si>
  <si>
    <t>D03096</t>
  </si>
  <si>
    <t xml:space="preserve">AT POST LONI, TALOJA MIDC RD TAL- KALYAN, </t>
  </si>
  <si>
    <t>D03085</t>
  </si>
  <si>
    <t>SHREE SADGURUKRUPA ENTERPRISES</t>
  </si>
  <si>
    <t>NR SATIRJE GRAMPANCHAYAT HOUSE NO 137, G. BHASKAR, PATIL, MAPGAON,SATIJE,ALIBAUG,RAIGAD</t>
  </si>
  <si>
    <t>D02974</t>
  </si>
  <si>
    <t>GHARAT ENTERPRISES</t>
  </si>
  <si>
    <t xml:space="preserve">AT PALAV  HOUSE NO 1924 POST CHAUL TAL ,ALIBAG DIST RAIGAD, ALIBAUG </t>
  </si>
  <si>
    <t>D02890</t>
  </si>
  <si>
    <t>ANOOP DRINKING WATER AND COLDDRINK SUPPLY</t>
  </si>
  <si>
    <t xml:space="preserve">AT POST CHOWK TAL KHALAPUR, </t>
  </si>
  <si>
    <t>D02960</t>
  </si>
  <si>
    <t>R.G ENTERPRISES</t>
  </si>
  <si>
    <t xml:space="preserve">MANGOAN </t>
  </si>
  <si>
    <t>THANE</t>
  </si>
  <si>
    <r>
      <t>SHOP NO 2, SADGURU KRUPA NIWAS, MUMBRA PANVEL RD,</t>
    </r>
    <r>
      <rPr>
        <b/>
        <sz val="11"/>
        <color theme="1"/>
        <rFont val="Calibri"/>
        <family val="2"/>
        <scheme val="minor"/>
      </rPr>
      <t xml:space="preserve"> HANUMAN HOTEL SHILPHATA</t>
    </r>
    <r>
      <rPr>
        <sz val="11"/>
        <color theme="1"/>
        <rFont val="Calibri"/>
        <family val="2"/>
        <scheme val="minor"/>
      </rPr>
      <t xml:space="preserve"> , THANE</t>
    </r>
  </si>
  <si>
    <r>
      <rPr>
        <sz val="11"/>
        <color theme="1"/>
        <rFont val="Calibri"/>
        <family val="2"/>
        <scheme val="minor"/>
      </rPr>
      <t xml:space="preserve">2ND FLR, OFFICE  NO 203, </t>
    </r>
    <r>
      <rPr>
        <b/>
        <sz val="11"/>
        <color theme="1"/>
        <rFont val="Calibri"/>
        <family val="2"/>
        <scheme val="minor"/>
      </rPr>
      <t>ASHOK INDL ESTATE LBS NO1</t>
    </r>
  </si>
  <si>
    <r>
      <t>A WING,102,MADHIVAN BLDG,</t>
    </r>
    <r>
      <rPr>
        <b/>
        <sz val="10"/>
        <color theme="1"/>
        <rFont val="Calibri Light"/>
        <family val="2"/>
        <scheme val="major"/>
      </rPr>
      <t>PHOOLPADA RD</t>
    </r>
    <r>
      <rPr>
        <sz val="10"/>
        <color theme="1"/>
        <rFont val="Calibri Light"/>
        <family val="2"/>
        <scheme val="major"/>
      </rPr>
      <t xml:space="preserve"> RJ NAGAR,VIRAR EAST</t>
    </r>
  </si>
  <si>
    <r>
      <t>MAFCO MINI MARKET, B-7,GR FLOOR,</t>
    </r>
    <r>
      <rPr>
        <b/>
        <sz val="10"/>
        <color theme="1"/>
        <rFont val="Calibri Light"/>
        <family val="2"/>
        <scheme val="major"/>
      </rPr>
      <t>SECTOR-18,TURBHE</t>
    </r>
    <r>
      <rPr>
        <sz val="10"/>
        <color theme="1"/>
        <rFont val="Calibri Light"/>
        <family val="2"/>
        <scheme val="major"/>
      </rPr>
      <t>,</t>
    </r>
  </si>
  <si>
    <r>
      <rPr>
        <b/>
        <sz val="10"/>
        <color theme="1"/>
        <rFont val="Calibri Light"/>
        <family val="2"/>
        <scheme val="major"/>
      </rPr>
      <t>KALYAN DMART</t>
    </r>
    <r>
      <rPr>
        <sz val="10"/>
        <color theme="1"/>
        <rFont val="Calibri Light"/>
        <family val="2"/>
        <scheme val="major"/>
      </rPr>
      <t>. OPPOSITE JOKER CINEMA.,SHIVAJI CHOWK. . KALYAN</t>
    </r>
  </si>
  <si>
    <r>
      <t>SHOP NO B/1,</t>
    </r>
    <r>
      <rPr>
        <b/>
        <sz val="10"/>
        <color theme="1"/>
        <rFont val="Calibri Light"/>
        <family val="2"/>
        <scheme val="major"/>
      </rPr>
      <t xml:space="preserve"> PANDURANG KRUPA BLDG NAVPADA</t>
    </r>
    <r>
      <rPr>
        <sz val="10"/>
        <color theme="1"/>
        <rFont val="Calibri Light"/>
        <family val="2"/>
        <scheme val="major"/>
      </rPr>
      <t>,SUBHASH RD,</t>
    </r>
    <r>
      <rPr>
        <b/>
        <sz val="10"/>
        <color theme="1"/>
        <rFont val="Calibri Light"/>
        <family val="2"/>
        <scheme val="major"/>
      </rPr>
      <t xml:space="preserve"> DOMBIVALI</t>
    </r>
    <r>
      <rPr>
        <sz val="10"/>
        <color theme="1"/>
        <rFont val="Calibri Light"/>
        <family val="2"/>
        <scheme val="major"/>
      </rPr>
      <t xml:space="preserve"> WEST</t>
    </r>
  </si>
  <si>
    <t>Shed B3, Gala Number 5,6,7,8, Sairaj Logistic Center Lonad Road Bhivandi</t>
  </si>
  <si>
    <t>D02985</t>
  </si>
  <si>
    <t>DOSANI TRADERS</t>
  </si>
  <si>
    <t>JASAVALI JASAVALI SHRIWARDHAN RAIGAS</t>
  </si>
  <si>
    <t>SHRIWARDHAN</t>
  </si>
  <si>
    <t>D02920</t>
  </si>
  <si>
    <t>PRANJALI ENTERPRISES</t>
  </si>
  <si>
    <t>saral gaove</t>
  </si>
  <si>
    <t>D03104</t>
  </si>
  <si>
    <t>SHIVKRUPA ENTERPRISES</t>
  </si>
  <si>
    <t>C06798</t>
  </si>
  <si>
    <t>NATURE TRAILS RESORTS PVT LTD-kahalpur</t>
  </si>
  <si>
    <t>AT KHUTAL POST, KAIRA NEAR SWARAJ DHABA, TAL ROHA, DIST RAIGARD</t>
  </si>
  <si>
    <t>ROHA</t>
  </si>
  <si>
    <t>GALA NO 5, H NO 312, WARD NO 4,GERASE ROAD, VASIND EAST, TAL SAHAPUR</t>
  </si>
  <si>
    <t>SAHAPUR</t>
  </si>
  <si>
    <t>KAHALPUR</t>
  </si>
  <si>
    <t>KOPOLI PALI ROAD TAL KHALAPUR</t>
  </si>
  <si>
    <t>D03111</t>
  </si>
  <si>
    <t>SHRISTI ENTERPRISES</t>
  </si>
  <si>
    <t>SHOP NO 6 GROUNG FLOOR AVENUE BUSINESS PARK AND TRUCK TERMINANS KALYAN WEST</t>
  </si>
  <si>
    <t>KALYAN W</t>
  </si>
  <si>
    <t>(RADISSON BLU RESORT &amp; SPA) ALIBAUG GONDAL PADA, RAIGAD MAHARASHTRA</t>
  </si>
  <si>
    <t>Alibaug</t>
  </si>
  <si>
    <t>VASIND</t>
  </si>
  <si>
    <t>GALA NO 5, H NO 312, WARD NO 4, GERASE ROAD VASIND EAST, TAL SAHAPUR</t>
  </si>
  <si>
    <t>K12332</t>
  </si>
  <si>
    <t xml:space="preserve">AVENUE E-COMMERCE LTD (BELAPUR) M M </t>
  </si>
  <si>
    <t xml:space="preserve">MINIMAX SHOP NO 1 &amp; 2 THE MARUTHI MOUNT VIEW CHS P N 24 SECTOR R8B GBO BELAPUR NAVI MUMBAI MUNICIPAL </t>
  </si>
  <si>
    <t>Belapur</t>
  </si>
  <si>
    <t>D03027</t>
  </si>
  <si>
    <t>PURVI ENTERPRISES</t>
  </si>
  <si>
    <t xml:space="preserve">3162 SHOP NO 03, KARANJA NEAR DRONAGIRI TAL URAN DIST RAIGAD </t>
  </si>
  <si>
    <t>DRONAGIRI</t>
  </si>
  <si>
    <t>Aambika Foods and Beverages LLP, C-36, Wagle Estate, MIDC, Rd Number 28, Panch Pakhudi, Thane, Maharashtra 400604</t>
  </si>
  <si>
    <t>AT POST- LONERE NEAR ANAND NAGAR, MANGOAN RAIGAD</t>
  </si>
  <si>
    <t>D03134</t>
  </si>
  <si>
    <t>ACE ENTERPRISES</t>
  </si>
  <si>
    <t>SHOP NO 5 DMELLO WADI PROPERTY TAMTALAO</t>
  </si>
  <si>
    <t>VASAI WEST</t>
  </si>
  <si>
    <t>D03140</t>
  </si>
  <si>
    <t>SAI ENTERPRISES</t>
  </si>
  <si>
    <t>SHOP NO 3, PLOT NO 1034/003, SHANKAR MAHADEV APT, SEC-5,NAVI MUMBAI</t>
  </si>
  <si>
    <t xml:space="preserve">KOPAR KHAIRANE </t>
  </si>
  <si>
    <t>D03145</t>
  </si>
  <si>
    <t>SAMARTH KRUPA ENTERPRISES</t>
  </si>
  <si>
    <t>SHOP NO 27 AT GHESAR POST NILJE TALUKA KALYAN</t>
  </si>
  <si>
    <t>18,TENNAKA POST MANOR,TAL PALGHAR DIST THANE 401404</t>
  </si>
  <si>
    <t>DMART ULHASNAGAR THANE DMART, 279 ULHAS NAGAR MHARAL</t>
  </si>
  <si>
    <t>D03146</t>
  </si>
  <si>
    <t>SHIVA ENTERPRISES</t>
  </si>
  <si>
    <t>SHOP NO 10 BLDG NO 6, VASUDEV COMPLEX CHS LTD KANAKIA MIRA RD EAST</t>
  </si>
  <si>
    <t>MIRA RD EAST</t>
  </si>
  <si>
    <t>D03157</t>
  </si>
  <si>
    <t>SHREE BHOLE AGENCY</t>
  </si>
  <si>
    <t>SHOP NO 20 SANJARI SHOPPING CENTER SHREE GAJANAN, COMPOUND OPP VINA DYNASITY EVERSHINE CITY PALGHAR</t>
  </si>
  <si>
    <t>VASAI</t>
  </si>
  <si>
    <t>K12893</t>
  </si>
  <si>
    <t>H NO 180/10 BLDG AB GLOBAL COMPLEX OPPOSITE SHANGRILA RESORT BHIWANDI TAHASIL MUNICIPAL CO THA</t>
  </si>
  <si>
    <t>K12115</t>
  </si>
  <si>
    <t>GCC HOTELS PVT LTD</t>
  </si>
  <si>
    <t>92/1  OFF MIRA BHAYANDER ROAD, MIRA RD EAST</t>
  </si>
  <si>
    <t>MIRA RD E</t>
  </si>
  <si>
    <t>K12041</t>
  </si>
  <si>
    <t>HANDS ON TRADE PVT LTD</t>
  </si>
  <si>
    <t>RATAN LOGISTICS HUB BLDG NO RBI AMANE BHIWANDI,BHIWANDI THASHIL BHIWANDI MUNICIPAL CORPORATION TH</t>
  </si>
  <si>
    <t>K13025</t>
  </si>
  <si>
    <t>DAIVIK DISTRIBUTOR</t>
  </si>
  <si>
    <t xml:space="preserve">SHOP NO 5 MAIN ROAD CHINCHAN , DIST PALGHAR </t>
  </si>
  <si>
    <t>K13045</t>
  </si>
  <si>
    <t>MAHA PURNIMA FABRICS</t>
  </si>
  <si>
    <t>SHOP NO 14,15,16 C GROUND FLR, ORION BLDG NO 1, THAKUR GALAXY, YASHWANT SHRUSTI BOISER WEST</t>
  </si>
  <si>
    <t>BOISER</t>
  </si>
  <si>
    <t>D03158</t>
  </si>
  <si>
    <t>CHIRAG ENTERPRISES</t>
  </si>
  <si>
    <t>SHOP NO 6, PLOT NO 42, BHARATRATNA BABASAHEB ,AMBEDKAR SAMTA BHAVAN, SECTOR-10 SANPADA, NAVI MUM</t>
  </si>
  <si>
    <t>SANPADA</t>
  </si>
  <si>
    <t>D03173</t>
  </si>
  <si>
    <t>SARVEY NO 85, HISSA NO 4, CHIRNER, Uran</t>
  </si>
  <si>
    <t>TAKAULI NAKA, NEAER PADGA TOLL PLAZA,  BEHIND URBAN TADKA RESTAURANT NASIK HIGHWAY, KALYAN WEST</t>
  </si>
  <si>
    <t>Kalyan W</t>
  </si>
  <si>
    <t>C08346</t>
  </si>
  <si>
    <t>RELIANCE RETAIL MERCHANDISING CENTRE</t>
  </si>
  <si>
    <t>RELINCE SMART BAZZAR RELIANCE CORPORATE PARK LTD THANE BELAPUR ROAD</t>
  </si>
  <si>
    <t>C08333</t>
  </si>
  <si>
    <t>MARVELOUS VICKYFOODS PRIVATE LIMITED</t>
  </si>
  <si>
    <t>CORPORATION SECTOR 20 APMC FRUIT MARKET NEAR TURBHE RAILWAY STATION WEST VASHI NAVI MUMBAI</t>
  </si>
  <si>
    <t>K12270</t>
  </si>
  <si>
    <t>CENTRALE</t>
  </si>
  <si>
    <t>PALGHAR</t>
  </si>
  <si>
    <t>ANGALI 329/2 ANGALI PADAI Road SATPALE VASAI VIRAR PALGHAR</t>
  </si>
  <si>
    <t>D03172</t>
  </si>
  <si>
    <t>NITA ENTERPRISES</t>
  </si>
  <si>
    <t>AT POST TONDRE NEAR NAGARPALIKA OFFICE TAL- PANVEL</t>
  </si>
  <si>
    <t>D03193</t>
  </si>
  <si>
    <t>MARVI ENTERPRISES</t>
  </si>
  <si>
    <t xml:space="preserve">SHOP NO 2 NAVPADA NEAR GANESH MANDIR SECTOR 22 KAMOTHE </t>
  </si>
  <si>
    <t>HANDS ON TRADE PRIVATE LIMITED TALOJA</t>
  </si>
  <si>
    <t>K13146</t>
  </si>
  <si>
    <t>SURVEY N 122 TO 133 BLDG B 8 A ESR TALOJA INDUSTRI LOGISTICS PARK VLG USATANE KHONI TALOJA RD AMBERNA</t>
  </si>
  <si>
    <t>TALOJA</t>
  </si>
  <si>
    <t>MUMC002959</t>
  </si>
  <si>
    <t>MUMC002970</t>
  </si>
  <si>
    <t>MUMC002961</t>
  </si>
  <si>
    <t>MUMC002790</t>
  </si>
  <si>
    <t>MUMC002796</t>
  </si>
  <si>
    <t>MUMC002971</t>
  </si>
  <si>
    <t>MUMC002944</t>
  </si>
  <si>
    <t>MUMC002949</t>
  </si>
  <si>
    <t>MUMC002783</t>
  </si>
  <si>
    <t>MUMC002766</t>
  </si>
  <si>
    <t>MUMC002787</t>
  </si>
  <si>
    <t>MUMC002795</t>
  </si>
  <si>
    <t>MUMC004057</t>
  </si>
  <si>
    <t>MUMC002746</t>
  </si>
  <si>
    <t>MUMC002752</t>
  </si>
  <si>
    <t>MUMC002972</t>
  </si>
  <si>
    <t>MUMC002763</t>
  </si>
  <si>
    <t>MUMC002701</t>
  </si>
  <si>
    <t>MUMC002874</t>
  </si>
  <si>
    <t>MUMC002741</t>
  </si>
  <si>
    <t>MUMC002756</t>
  </si>
  <si>
    <t>MUMC002760</t>
  </si>
  <si>
    <t>MUMC002742</t>
  </si>
  <si>
    <t>MUMC002704</t>
  </si>
  <si>
    <t>MUMC004804</t>
  </si>
  <si>
    <t>MUMC003219</t>
  </si>
  <si>
    <t>MUMC004785</t>
  </si>
  <si>
    <t>MUMC001289</t>
  </si>
  <si>
    <t>MUMC004167</t>
  </si>
  <si>
    <t>MUMC002754</t>
  </si>
  <si>
    <t>MUMC003821</t>
  </si>
  <si>
    <t>MUMC002749</t>
  </si>
  <si>
    <t>MUMC002788</t>
  </si>
  <si>
    <t>MUMC002878</t>
  </si>
  <si>
    <t>MUMC002765</t>
  </si>
  <si>
    <t>MUMC002969</t>
  </si>
  <si>
    <t>MUMC002842</t>
  </si>
  <si>
    <t>MUMC002743</t>
  </si>
  <si>
    <t>MUMC002736</t>
  </si>
  <si>
    <t>MUMC002733</t>
  </si>
  <si>
    <t>MUMC002764</t>
  </si>
  <si>
    <t>MUMC002881</t>
  </si>
  <si>
    <t>MUMC002762</t>
  </si>
  <si>
    <t>MUMC002772</t>
  </si>
  <si>
    <t>MUMC002946</t>
  </si>
  <si>
    <t>MUMC002720</t>
  </si>
  <si>
    <t>MUMC002968</t>
  </si>
  <si>
    <t>MUMC002728</t>
  </si>
  <si>
    <t>MUMC002967</t>
  </si>
  <si>
    <t>MUMC003873</t>
  </si>
  <si>
    <t>MUMC002852</t>
  </si>
  <si>
    <t>MUMC002713</t>
  </si>
  <si>
    <t>MUMC001371</t>
  </si>
  <si>
    <t>MUMC003676</t>
  </si>
  <si>
    <t>MUMC002698</t>
  </si>
  <si>
    <t>MUMC002761</t>
  </si>
  <si>
    <t>MUMC002732</t>
  </si>
  <si>
    <t>MUMC002947</t>
  </si>
  <si>
    <t>MUMC003690</t>
  </si>
  <si>
    <t>MUMC002857</t>
  </si>
  <si>
    <t>MUMC003909</t>
  </si>
  <si>
    <t>MUMC002773</t>
  </si>
  <si>
    <t>MUMC004712</t>
  </si>
  <si>
    <t>MUMC002750</t>
  </si>
  <si>
    <t>MUMC002964</t>
  </si>
  <si>
    <t>MUMC000840</t>
  </si>
  <si>
    <t>MUMC002954</t>
  </si>
  <si>
    <t>MUMC002703</t>
  </si>
  <si>
    <t>MUMC002673</t>
  </si>
  <si>
    <t>MUMC000626</t>
  </si>
  <si>
    <t>MUMC005516</t>
  </si>
  <si>
    <t>MUMC002738</t>
  </si>
  <si>
    <t>MUMC002714</t>
  </si>
  <si>
    <t>MUMC002833</t>
  </si>
  <si>
    <t>MUMC002700</t>
  </si>
  <si>
    <t>MUMC002771</t>
  </si>
  <si>
    <t>MUMC002688</t>
  </si>
  <si>
    <t>MUMC002965</t>
  </si>
  <si>
    <t>MUMC002958</t>
  </si>
  <si>
    <t>MUMC002966</t>
  </si>
  <si>
    <t>MUMC002697</t>
  </si>
  <si>
    <t>MUMC002793</t>
  </si>
  <si>
    <t>MUMC002962</t>
  </si>
  <si>
    <t>MUMC002755</t>
  </si>
  <si>
    <t>MUMC002748</t>
  </si>
  <si>
    <t>MUMC002791</t>
  </si>
  <si>
    <t>MUMC002693</t>
  </si>
  <si>
    <t>MUMC002864</t>
  </si>
  <si>
    <t>MUMC002775</t>
  </si>
  <si>
    <t>MUMC002815</t>
  </si>
  <si>
    <t>MUMC002735</t>
  </si>
  <si>
    <t>MUMC002753</t>
  </si>
  <si>
    <t>MUMC002751</t>
  </si>
  <si>
    <t>MUMC002877</t>
  </si>
  <si>
    <t>MUMC002798</t>
  </si>
  <si>
    <t>MUMC002955</t>
  </si>
  <si>
    <t>MUMC002883</t>
  </si>
  <si>
    <t>MUMC002867</t>
  </si>
  <si>
    <t>MUMC002716</t>
  </si>
  <si>
    <t>MUMC004964</t>
  </si>
  <si>
    <t>MUMC016537</t>
  </si>
  <si>
    <t>MUMC002747</t>
  </si>
  <si>
    <t>MUMC002726</t>
  </si>
  <si>
    <t>MUMC002838</t>
  </si>
  <si>
    <t>MUMC002786</t>
  </si>
  <si>
    <t>MUMC004905</t>
  </si>
  <si>
    <t>MUMC002799</t>
  </si>
  <si>
    <t>MUMC003248</t>
  </si>
  <si>
    <t>MUMC002886</t>
  </si>
  <si>
    <t>MUMC002884</t>
  </si>
  <si>
    <t>MUMC002887</t>
  </si>
  <si>
    <t>MUMC004784</t>
  </si>
  <si>
    <t>MUMC005146</t>
  </si>
  <si>
    <t>MUMC004481</t>
  </si>
  <si>
    <t>MUMC003882</t>
  </si>
  <si>
    <t>MUMC002724</t>
  </si>
  <si>
    <t>MUMC002888</t>
  </si>
  <si>
    <t>MUMC003756</t>
  </si>
  <si>
    <t>MUMC005526</t>
  </si>
  <si>
    <t>MUMC002891</t>
  </si>
  <si>
    <t>MUMC002893</t>
  </si>
  <si>
    <t>MUMC002895</t>
  </si>
  <si>
    <t>MUMC004959</t>
  </si>
  <si>
    <t>MUMC002894</t>
  </si>
  <si>
    <t>MUMC002896</t>
  </si>
  <si>
    <t>MUMC002890</t>
  </si>
  <si>
    <t>MUMC004948</t>
  </si>
  <si>
    <t>MUMC016576</t>
  </si>
  <si>
    <t>MUMC002901</t>
  </si>
  <si>
    <t>MUMC002900</t>
  </si>
  <si>
    <t>MUMC002899</t>
  </si>
  <si>
    <t>MUMC002905</t>
  </si>
  <si>
    <t>MUMC005476</t>
  </si>
  <si>
    <t>MUMC002907</t>
  </si>
  <si>
    <t>MUMC002908</t>
  </si>
  <si>
    <t>MUMC002904</t>
  </si>
  <si>
    <t>MUMC002906</t>
  </si>
  <si>
    <t>MUMC002912</t>
  </si>
  <si>
    <t>MUMC002913</t>
  </si>
  <si>
    <t>MUMC002903</t>
  </si>
  <si>
    <t>MUMC002909</t>
  </si>
  <si>
    <t>MUMC002914</t>
  </si>
  <si>
    <t>MUMC002739</t>
  </si>
  <si>
    <t>MUMC005835</t>
  </si>
  <si>
    <t>MUMC004614</t>
  </si>
  <si>
    <t>MUMC001959</t>
  </si>
  <si>
    <t>MUMC002915</t>
  </si>
  <si>
    <t>MUMC002898</t>
  </si>
  <si>
    <t>MUMC002917</t>
  </si>
  <si>
    <t>MUMC002922</t>
  </si>
  <si>
    <t>MUMC002918</t>
  </si>
  <si>
    <t>MUMC002923</t>
  </si>
  <si>
    <t>MUMC002925</t>
  </si>
  <si>
    <t>MUMC002920</t>
  </si>
  <si>
    <t>MUMC006033</t>
  </si>
  <si>
    <t>MUMC002924</t>
  </si>
  <si>
    <t>MUMC002926</t>
  </si>
  <si>
    <t>MUMC002921</t>
  </si>
  <si>
    <t>MUMC002885</t>
  </si>
  <si>
    <t>MUMC002853</t>
  </si>
  <si>
    <t>MUMC002892</t>
  </si>
  <si>
    <t>MUMC002866</t>
  </si>
  <si>
    <t>MUMC002928</t>
  </si>
  <si>
    <t>MUMC001571</t>
  </si>
  <si>
    <t>MUMC002930</t>
  </si>
  <si>
    <t>MUMC006076</t>
  </si>
  <si>
    <t>MUMC002916</t>
  </si>
  <si>
    <t>MUMC002931</t>
  </si>
  <si>
    <t>MUMC002932</t>
  </si>
  <si>
    <t>MUMC002933</t>
  </si>
  <si>
    <t>MUMC002934</t>
  </si>
  <si>
    <t>MUMC002936</t>
  </si>
  <si>
    <t>MUMC006511</t>
  </si>
  <si>
    <t>MUMC005913</t>
  </si>
  <si>
    <t>MUMC005859</t>
  </si>
  <si>
    <t>MUMC006599</t>
  </si>
  <si>
    <t>MUMC006618</t>
  </si>
  <si>
    <t>MUMC002939</t>
  </si>
  <si>
    <t>MUMC002937</t>
  </si>
  <si>
    <t>MUMC004869</t>
  </si>
  <si>
    <t>MUMC016543</t>
  </si>
  <si>
    <t>MUMC006024</t>
  </si>
  <si>
    <t>MUMC002938</t>
  </si>
  <si>
    <t>MUMC016648</t>
  </si>
  <si>
    <t>K13260</t>
  </si>
  <si>
    <t>MH</t>
  </si>
  <si>
    <t xml:space="preserve">HOUSE NO 2144/06 KASA GALKWAD PADA DAHANU JAWAHAR KASA BUDRUK B.O PALGHAR,  - </t>
  </si>
  <si>
    <t>ALISHAN TRADERS</t>
  </si>
  <si>
    <t>MUMC16921</t>
  </si>
  <si>
    <t>MUMC017171</t>
  </si>
  <si>
    <t>SCOOTSY LOGISTICS PVT LTD(BHIWANDI)</t>
  </si>
  <si>
    <t>BUILDING NO B4 GROUND FLOOR, GLOBAL COMPLEX SURVEY NO 25/10/1 TAREE SONALE   TAHASHIL,BHIWANDI MUNICIPAL,CORPORATION THANE ZONE 5</t>
  </si>
  <si>
    <t>MUMC17021</t>
  </si>
  <si>
    <t>DRASHITI ENTERPRISES</t>
  </si>
  <si>
    <t>SHOP NO 16 PLOT NO 35 SECTOR 11 MARUTI TOWER COOP HSG CBD BELAPUR</t>
  </si>
  <si>
    <t>D03196</t>
  </si>
  <si>
    <t>CLOUDSTORE RETAIL PRIVTAE LIMITED(BHIWANDI FC-22)</t>
  </si>
  <si>
    <t>MUMC017281</t>
  </si>
  <si>
    <t>MUMC017430</t>
  </si>
  <si>
    <t>ATHARV ENTERPRISES</t>
  </si>
  <si>
    <t xml:space="preserve">SEAWOODS </t>
  </si>
  <si>
    <t xml:space="preserve">SHOP NO-02 PLOT NO 29 SHEETAL DHARA SEAWOODS SECTORE 44A NAVI MUMBAI </t>
  </si>
  <si>
    <t>MUMC17020</t>
  </si>
  <si>
    <t>RADHAKRISHNA FOODLAND PVT LTD</t>
  </si>
  <si>
    <t>A-2 GOODWON NO4 GLOBAL COMPLEX TURF SONALE OPPOSITE SHANGRILLA RESORT</t>
  </si>
  <si>
    <t>MUMC017492</t>
  </si>
  <si>
    <t>ATHARVA DISTRIBUTORS</t>
  </si>
  <si>
    <t>GODOWN NO-3/A GRND FLR CENTRAL WAREHOUSING CORPORATION NEAR APMC MARKET SEELA VASHI</t>
  </si>
  <si>
    <t>MUMC017550</t>
  </si>
  <si>
    <t>PRINCE ENTERPRISES</t>
  </si>
  <si>
    <t>GORAI CROSS CHAWL GORAI VILLAGE</t>
  </si>
  <si>
    <t>MUMC017537</t>
  </si>
  <si>
    <t>ALROZ TRADING</t>
  </si>
  <si>
    <t>HOUSE NO-944 SY NO 203 CHAROTI DAHANU ROAD</t>
  </si>
  <si>
    <t>DAHANU</t>
  </si>
  <si>
    <t>MUMC017519</t>
  </si>
  <si>
    <t>VIRAJ MARKETING</t>
  </si>
  <si>
    <t>SHOP NO 1,2 SHREE HARI DARSHAN VIMAL DAIRY LANE INDRALOK NAKA BHAYANDER E</t>
  </si>
  <si>
    <t xml:space="preserve"> BHAYANDER E</t>
  </si>
  <si>
    <t>MUMC002075</t>
  </si>
  <si>
    <t>APOLLO HEALTHCO LIMITED</t>
  </si>
  <si>
    <t>GALA NO 1 TO 8 GRD F;R BLDG NO A/2 PRITHVI COMPLEX AMANE, KALHER VILLAGE TAL BHIWANDI THANE</t>
  </si>
  <si>
    <t>KALHER BHIWANDI</t>
  </si>
  <si>
    <t>GORAI</t>
  </si>
  <si>
    <t>MUMC017325</t>
  </si>
  <si>
    <t>NEW NOOR ENTERPRISES</t>
  </si>
  <si>
    <t>SHOP NO 5 GROUND FLOOR DYNASTY CHS LTD MAIN ROAD SHRUTI PARK</t>
  </si>
  <si>
    <t>MUMC004961</t>
  </si>
  <si>
    <t>WAREHOUSE NO.1, SAHIB WAREHOUSING, MAMA COMPOUND KON, NR BHIWANDI BYPASS, NSK  HIGHWAY, SARIVALI BHIWAND</t>
  </si>
  <si>
    <t>BHIWAND</t>
  </si>
  <si>
    <t>MUMC017600</t>
  </si>
  <si>
    <t>BALAJI WORK'S</t>
  </si>
  <si>
    <t>ONERS ACCOTAITION SECTOR NO-21 TURBHE NEAR APMC FRUIT MARKET</t>
  </si>
  <si>
    <t>MUMC017776</t>
  </si>
  <si>
    <t>NAYRA ENTERPRISES</t>
  </si>
  <si>
    <t>MUMC017615</t>
  </si>
  <si>
    <t>OVAL ENTERPRISES</t>
  </si>
  <si>
    <t>MUMC017748</t>
  </si>
  <si>
    <t>DHARMA ENTERPRISES</t>
  </si>
  <si>
    <t>GUT NO 31/6 DUGHAD PHATA WADA  BHIWANDI ROAD</t>
  </si>
  <si>
    <t xml:space="preserve">BHIWANDI </t>
  </si>
  <si>
    <t>H NO 420 NEXT TO INDIAN PETROL PUMP OPP FOUNTAIN HOTEL CHAVINDRA BHIWANDI ROAD</t>
  </si>
  <si>
    <t xml:space="preserve"> BHIWANDI</t>
  </si>
  <si>
    <t>SHOP NO 1 SADGURU KRUPA BUILDING GOLAVALLI GAON DEVI MANDIR ROAD</t>
  </si>
  <si>
    <t xml:space="preserve">DOMBIVALI E </t>
  </si>
  <si>
    <t>MUMC017850</t>
  </si>
  <si>
    <t>KIRANAKART TECHNOLOGIES PRIVATE LIMITED</t>
  </si>
  <si>
    <t>SQUARE INTEGRATED LOGISTIC PARK K SQUARE BEFORE PADGHA  TOLL NAKA NASHIK MUMBAI HIGHWAY AFTER PUSKAR MELA HOTEL KURUND VILLAGE</t>
  </si>
  <si>
    <t>CLOUDSTORE RETAIL PRIVTAE LIMITED(BHIWANDI FC-14)</t>
  </si>
  <si>
    <t>MUMC017280</t>
  </si>
  <si>
    <t>PLOT NO 697 696 WH NO B4 VILLAGE BORIVALI BHIWANDI TAHASIL BHIWANDI MUNICIPAL CORPORATION THANE ZONE-05</t>
  </si>
  <si>
    <t>MUMC017828</t>
  </si>
  <si>
    <t>ATHARVA DISTRIBUTORS AND MARKETING PRIVATE LIMITED</t>
  </si>
  <si>
    <t>GODOWN-3A CENTRAL WAREHOUSEING CORPORATION SECTOR-20 NEAR APMC MARKET NEAR TURBHE RAILWAY STATION VASHI</t>
  </si>
  <si>
    <t>Turbhe</t>
  </si>
  <si>
    <t>MUMC017616</t>
  </si>
  <si>
    <t>VISHANK ENTERPRISES</t>
  </si>
  <si>
    <t>SHOP-13 GOPAL NAARO BHIWANDI THANE,</t>
  </si>
  <si>
    <t>MUMC018002</t>
  </si>
  <si>
    <t>VIGNAHARTHA DISTRIBUTOR</t>
  </si>
  <si>
    <t>SHOP NO 14 BUILDING NO 1 SHANTI VISTA BOISAR SEVALAL JOB PLAXEMENT YASHWANT SHRISTA BOISAR</t>
  </si>
  <si>
    <t>MUMC018124</t>
  </si>
  <si>
    <t>ISHA ENTERPRISES</t>
  </si>
  <si>
    <t>MUMC018193</t>
  </si>
  <si>
    <t>K.E. INFRASTRUCTURE PVT. LTD.</t>
  </si>
  <si>
    <t>MUMC018183</t>
  </si>
  <si>
    <t>RAJANI ENTERPRISES</t>
  </si>
  <si>
    <t>GRND FLOOR BUILDING NO-552 SHOP NO 492 SECTOR 5 NAVI MUMBAI KOPAR KHARANE</t>
  </si>
  <si>
    <t>KOPAR KHARANE</t>
  </si>
  <si>
    <t xml:space="preserve">Haware city Kasarvadavali, 7X54+WRX, Haware City, Kasarvadavali, Thane West, Thane, Maharashtra </t>
  </si>
  <si>
    <t>Grd Flr,Shop No 8 Chandrasen Kedar Bldg Near Shivaji Chowk Kalyan Shill Road, Lodha Heaven</t>
  </si>
  <si>
    <t>MUMC018204</t>
  </si>
  <si>
    <t>PAURAS ENTERPRISES</t>
  </si>
  <si>
    <t xml:space="preserve">HOUSE 321 OPP DIVINE GRACE HIGH SCHOOL AT POST VAJRESHWARI ASSARA NAGAR ROAD </t>
  </si>
  <si>
    <t>SHREE SUKHSAGAR HOSPITALITY SERVICES</t>
  </si>
  <si>
    <t>MUMC017538</t>
  </si>
  <si>
    <t>MUMC017193</t>
  </si>
  <si>
    <t>KAMLESHWAR ENTERPRISSE</t>
  </si>
  <si>
    <t>SHOP NO 3 GROUND FLOOR HOTEL OM PANCHARATNA GRND NEAR SHEDUNG TOLL NAKA</t>
  </si>
  <si>
    <t>MUMC018125</t>
  </si>
  <si>
    <t xml:space="preserve"> Dombivli E</t>
  </si>
  <si>
    <t>MUMC018338</t>
  </si>
  <si>
    <t>CONTAGIOUS ONLINE MEDIA NETWORK PVT LTD</t>
  </si>
  <si>
    <t xml:space="preserve">MADH </t>
  </si>
  <si>
    <t>P H PALMS MASTER WADI MADH MUMBAI SUBUEBAN, Mumbai -</t>
  </si>
  <si>
    <t>MUMC018356</t>
  </si>
  <si>
    <t>DHAN GURU NANIK COLD DRINK HOUSE</t>
  </si>
  <si>
    <t>PLOT NO 46 O.T SECTION ULHASNAGAR CAMP NR SAGAR BISCUIT FACTORY</t>
  </si>
  <si>
    <t>MUMC018352</t>
  </si>
  <si>
    <t>SHREE KRISHNA TRADERS</t>
  </si>
  <si>
    <t>NEAR ABU HOTEL GANDHI ROAD ULHASNAGAR</t>
  </si>
  <si>
    <t>ULHASNAGAR</t>
  </si>
  <si>
    <t>MUMC017916</t>
  </si>
  <si>
    <t>TRIO WATER &amp; BEVERAGES SERVICES-HOME DELIVEY</t>
  </si>
  <si>
    <t>VIRAR W</t>
  </si>
  <si>
    <t xml:space="preserve">B-SHOP NO 14 SAMBHAV TOWER  PADMAVATI NAGAR AGASHI ROAD </t>
  </si>
  <si>
    <t>MUMC003476</t>
  </si>
  <si>
    <t>BOOKER INDIA LTD.(MIRA ROAD )</t>
  </si>
  <si>
    <t>BOOKER WHOLESALE,118 C PANDURANGWADI GHODBANDER NEXT TO LODHA AQUA OPP THAKUR MALL,</t>
  </si>
  <si>
    <t>hotel pelhar National Highway 48, Wakanpada, Nalasopara East, Nala Sopara, Maharashtra</t>
  </si>
  <si>
    <t>MUMC018383</t>
  </si>
  <si>
    <t>SURYANATH AGENCY</t>
  </si>
  <si>
    <t xml:space="preserve"> Rabale</t>
  </si>
  <si>
    <t>H No 0342, Room no 201, Yamuna Apartment Gothivali Gaon Near Dk Telars, Rabale</t>
  </si>
  <si>
    <t>MUMC018476</t>
  </si>
  <si>
    <t>PRAJWAL ENTERPRISES</t>
  </si>
  <si>
    <t>3/298, SUNIL DATTATRAY MANORE, PARALI NAKA, WADA,</t>
  </si>
  <si>
    <t>WADA</t>
  </si>
  <si>
    <t>MUMC018477</t>
  </si>
  <si>
    <t>TARUN ENTERPRISES</t>
  </si>
  <si>
    <t>Nallasopara W</t>
  </si>
  <si>
    <t>MUMC017779</t>
  </si>
  <si>
    <t>VEER MART</t>
  </si>
  <si>
    <t>SHOP NO F G 60 R-GALLERY RUNAL SHOPPING ARCADE KALYAN SHILL ROAD</t>
  </si>
  <si>
    <t xml:space="preserve">KALYAN </t>
  </si>
  <si>
    <t>MUMC004561</t>
  </si>
  <si>
    <t>AVENUE E COMMERCE LIMITED-MIRA RD</t>
  </si>
  <si>
    <t>SURVEY NO 141,HISSA NO 2. (OLD SURVEY NO 465) GHODBANDER, VILLAGE BHAYANDER. (OLD VILLAGE NAHVGHAR) MIRA RD</t>
  </si>
  <si>
    <t>MUMC018585</t>
  </si>
  <si>
    <t>VIGNESHWAR TRADERS</t>
  </si>
  <si>
    <t>DOMBIVALI W</t>
  </si>
  <si>
    <t>07 PRAGATI SANKOOL SUBHASH ROAD KUMBHARKHAN PADA DOMBIVALI W</t>
  </si>
  <si>
    <t>MUMC018592</t>
  </si>
  <si>
    <t>OK ENTERPRISES</t>
  </si>
  <si>
    <t>Ashok Nagar, Ulhasnagar, Maharashtra 421004</t>
  </si>
  <si>
    <t>MUMC018552</t>
  </si>
  <si>
    <t>SYNERGIA LIFE SCIENCES PVT LTD</t>
  </si>
  <si>
    <t>Talathi Saja Kone,</t>
  </si>
  <si>
    <t>MUMC018512</t>
  </si>
  <si>
    <t>MOTI MITHAIWALE</t>
  </si>
  <si>
    <t>GRD FLR, SHOP NO. 05, KASTURI ASHISH VENKETESH PETROL KALYAN-SHILL ROAD,DOMBIVALI</t>
  </si>
  <si>
    <t>MUMC018561</t>
  </si>
  <si>
    <t>MUMC018641</t>
  </si>
  <si>
    <t>INTERNATIONAL SOCIETY FOR KRISHNA CONSCIOUSNESS KHARGHAR</t>
  </si>
  <si>
    <t xml:space="preserve">ISKCON Navi Mumbai at Kharghar, Hare Krishna Land, Plot No. 2, Central Park Rd, opposite Kharghar Golf Course, Sector 23, , Navi Mumbai, Maharashtra </t>
  </si>
  <si>
    <t>Kharghar</t>
  </si>
  <si>
    <t>MUMC018650</t>
  </si>
  <si>
    <t>PARSHWANATH HOLIDAYS</t>
  </si>
  <si>
    <t xml:space="preserve"> DOMBIVALI E</t>
  </si>
  <si>
    <t>MUMC018666</t>
  </si>
  <si>
    <t>HOTEL PRANJALI</t>
  </si>
  <si>
    <t>Hotel Pranjali, Khutal Bangla, Maharashtra 421401</t>
  </si>
  <si>
    <t>MUMC018584</t>
  </si>
  <si>
    <t>ROSHAN ENTERPRISES</t>
  </si>
  <si>
    <t>SHOP NO 11 ADNAN APARTMENT WAFA COMPLEX GAIBI NAGAR BHIWANDI THANE</t>
  </si>
  <si>
    <t>MUMC018638</t>
  </si>
  <si>
    <t>MARUTI ENTERPRISES</t>
  </si>
  <si>
    <t>4/2A,, Palegaon, Opp. New Water Tank ambernath Thane, Thane - 421501</t>
  </si>
  <si>
    <t>Ambernath</t>
  </si>
  <si>
    <t>MUMC019161</t>
  </si>
  <si>
    <t>RUPAREL AGRO PRIVATE LIMITED</t>
  </si>
  <si>
    <t>DHAMANGAON TALUKA BHIWANDI THANE</t>
  </si>
  <si>
    <t>MUMC019135</t>
  </si>
  <si>
    <t>R2 SHAKTI LOGISTICS PARK PHASE 2 DOHALE VILLAGE POSTADGHA BHIWANDI TEHSIL  MONCHAL COPORATION</t>
  </si>
  <si>
    <t>Lotus Corporate Park, Geetanjali Railway Colony, Laxmi Nagar, Goregaon, Mumbai, Maharashtra 400063</t>
  </si>
  <si>
    <t>Distance from PRPL</t>
  </si>
  <si>
    <t>GRD FLR, G-1, SONALI APPARTMENT TARKHAD,Vasai</t>
  </si>
  <si>
    <t>SHOP NO. 17,VIVA REGVEDA B VIVA VEDAGANDA COMPLEX VIRAR WEST 401303</t>
  </si>
  <si>
    <t>AT POST KASA. NEAR S.T STAND PRINCE COLD DRINKSTAL DAHANU 401602 RD. DIST: THANE</t>
  </si>
  <si>
    <t>R.M ENTERPRISES</t>
  </si>
  <si>
    <t>TAJ AQUA - SA</t>
  </si>
  <si>
    <t>BIPL- SA WAREHOUSE-  TAJ AQUA</t>
  </si>
  <si>
    <t>SHOP NO 15 MARIGOLD PRESTIGE RESIDENCY NR SURAJ WATER PARK WAGHBIL ORALA-1 THANE</t>
  </si>
  <si>
    <t>BIPL- SA WAREHOUSE-  A2S ENTERPRISES</t>
  </si>
  <si>
    <t>A2S Enterprises - SA</t>
  </si>
  <si>
    <t>GALA NO 52,AKASHGANGA COMPLEX GATE NUBER 3 GOKHALE ROAD (THANE), REVATI BUILDING 2ND RABODI,THAN</t>
  </si>
  <si>
    <t>Distance from WADA</t>
  </si>
  <si>
    <t>NEAR KURLAI ROAD,TANDULWADI ROAD SAPHALE EAST,TAL DIST PALGHAR 401102</t>
  </si>
  <si>
    <t>SHOP NO 05,ARJOO APARTMENT,POONAM SAGAR COMPLEX MIRA ROAD EAST 401107</t>
  </si>
  <si>
    <t>APT,SEC-22,TALWALI GHANSOLI,NAVI MUMBAI NAVI MUMBAI 400701</t>
  </si>
  <si>
    <t>SHOP NO 6,BLDG NO 3,SANDSTON CHS LTD KANAKIYA ROAD MIRA ROAD EAST 401107</t>
  </si>
  <si>
    <t>MANVEL PADA ROAD HANUMAN NAGAR ,VIRAR EAST 401303</t>
  </si>
  <si>
    <t>DEVIDAS ROAD,NEAR BORI MASJID,WHOLESALE MARKET MAHAGIRI,THANE WEST 400601</t>
  </si>
  <si>
    <t>PLOT NO 67,SHOP NO 3,SECTOR NO 50 HARI OM CHS. NERUL NAVI MUMBAI 400706</t>
  </si>
  <si>
    <t>GALA NO 1,AVANTIKA APARTMENT M.S.E.B ROAD MASOLI NAKA,DAHNU ROAD,DIST,PALGHAR 401501</t>
  </si>
  <si>
    <t>SHOP NO.09,PLOT NO.44/45/46,ANJALI APT.,SECTOR-05 SANPADA GAON, GAJANAN MAHARAJ CHOWK,SANPADA GAON,NAVI MUMBAI 410206</t>
  </si>
  <si>
    <t>BLOCK NO C2, A COM WAREHOUSE &amp; LOGISTICS PARKINSTAKART SERVICES PVT LTD ANJR VILLAGE, OPP DIVA PETROL PUMP</t>
  </si>
  <si>
    <t>PLOT NO 153,SHOP NO 23,SHELTOR PLAZA SECTOR 50 NERUL ,NAVI MUMBAI 400706</t>
  </si>
  <si>
    <t>HOUSE NO.53,PALI DEVAD, NEXT TO P.D.ENGINEERING WORKS SUKAPUR, 410206</t>
  </si>
  <si>
    <t>SHOP NO 6,CHANCHAL SOCIETY AMBEKAR ROAD SHIVAJI CHOWK,KALYAN WEST 421301</t>
  </si>
  <si>
    <t>SHOP NO 3, PLOT NO 44/45,PROGRESIV SEA LOUNGE, SECTOR-15 CBD BELAPUR, NAVI MUMBAI</t>
  </si>
  <si>
    <t>SHOP NO 25,GAGAN SOLITARE CHS LTD VIVA JANGID COMPLEX MANVEL PADA RD,VIRAR EAST 401303</t>
  </si>
  <si>
    <t>BHIWANDI 421302</t>
  </si>
  <si>
    <t>MUMC019315</t>
  </si>
  <si>
    <t xml:space="preserve"> URAN </t>
  </si>
  <si>
    <t>GROUND, Shop No. 3066, Panchavati Colony KARANJA ROAD MULEKHAND FATA URAN Navi Mumbai</t>
  </si>
  <si>
    <t>ROOM NO-3,KAMEET ESTATE SARWAT COLONY GURUMANDIR ROAD,DOMBIWALI EAST 421201</t>
  </si>
  <si>
    <t>MUMC017990</t>
  </si>
  <si>
    <t>RUHI ENTERPRISES</t>
  </si>
  <si>
    <t>KASARWADI MHATRE NIWAS OPP GOAD PASS COMPANY WAGHLE ESTATE GHODBUNDER ROAD WAGHLE ESTATE</t>
  </si>
  <si>
    <t xml:space="preserve">Thane </t>
  </si>
  <si>
    <t>MUMC019497</t>
  </si>
  <si>
    <t>RESHMA ENTERPRISES</t>
  </si>
  <si>
    <t>SHREENATH ENTERPRISES COMPOUND NEAR DON BOSCO SCHOOL VIMAL DAIRY RD KASHI NAGAR BHAYANDAR EAST PALGHAR, Palghar - 401105</t>
  </si>
  <si>
    <t>BHAYANDAR</t>
  </si>
  <si>
    <t>MUMC019232</t>
  </si>
  <si>
    <t>KASTURI ENETERPRISES</t>
  </si>
  <si>
    <t>PLOT NO 16 L NO 68/3 SANATAN SANKUL DEVAD NEW PANVEL RAIGAD RAIGARH(MH), Navi Mumbai - 410206</t>
  </si>
  <si>
    <t>NEW PANVEL</t>
  </si>
  <si>
    <t>MUMC019507</t>
  </si>
  <si>
    <t>SAAVI ENTERPRISES</t>
  </si>
  <si>
    <t>BHAYANDER</t>
  </si>
  <si>
    <t>C-WING 209 NEW BALDEV APT VINAYAK NGR RD NR RELIANCE ENERGI BHAYANDER WEST</t>
  </si>
  <si>
    <t>Wada - Manor Road Manor, Maharashtra</t>
  </si>
  <si>
    <t>GANGADEEP VASUDEVBURA NAGAR AT POST KALAM,TAL VASAI,DIST PALGHAR,NALLASOPARA WEST 401203</t>
  </si>
  <si>
    <t>MUMC002782</t>
  </si>
  <si>
    <t>KRISHNA NAGAR RAJ KAPOOR CHOWK OPP. ANUSHAKTI GOVANDI, ANUSHAKTI NAGAR FLYOVER,VISHI HIGHWAY,DEONAR,MUMBAI, Mumbai - 400088</t>
  </si>
  <si>
    <t>MUMC002951</t>
  </si>
  <si>
    <t>MEGHA ENTERPRISES</t>
  </si>
  <si>
    <t>GHODAPDEV</t>
  </si>
  <si>
    <t>GROUND FLR,PLOT 227/229,228A,DIAMOND BUILDING RAMBHAU BHOGALE MARG,GHODAPDEV MUMBAI - 400033</t>
  </si>
  <si>
    <t xml:space="preserve">NAGPADA </t>
  </si>
  <si>
    <t>MUMC018030</t>
  </si>
  <si>
    <t>S/O MOHAMMED SIDDIQUE QURESHI ALAM MANZIL 3RD FLR FLAT NO 13 SUFIYA ZUBAIR NAGPADA Mumbai - 400008</t>
  </si>
  <si>
    <t>MUMC018629</t>
  </si>
  <si>
    <t>S T ENTERPRISES</t>
  </si>
  <si>
    <t>Shree Shree Krishna Nagar Nr Traffic Police, Sion-Panvel Hill No.4, Ghatkopar Mumbai, Mumbai - 400088</t>
  </si>
  <si>
    <t>Ghatkopar</t>
  </si>
  <si>
    <t>MUMC019014</t>
  </si>
  <si>
    <t>ALIYA PACKAGING</t>
  </si>
  <si>
    <t>DHANIV GALA NO 02 BHANI BANGH NAGAR NEAR PETROL PUMP PELHAR RD NALASOPARA EAST 401209</t>
  </si>
  <si>
    <t>NR KERBALA MASJID MUMBAI Mumbai, Mumbai - 400007</t>
  </si>
  <si>
    <t>Grant Road</t>
  </si>
  <si>
    <t>NALASOPARA E</t>
  </si>
  <si>
    <t>MUMC019585</t>
  </si>
  <si>
    <t>CHANDRIKA GENERAL STORES</t>
  </si>
  <si>
    <t>MUMC019543</t>
  </si>
  <si>
    <t>H NO 180/10 BLDG AB GLOBAL COMPLEX OPPOSITE SHANGRILA RESORT BHIWANDI TAHASIL MUNICIPAL CO Thane, Thane - 421302</t>
  </si>
  <si>
    <t>MUMC016585</t>
  </si>
  <si>
    <t>SADGURUKRUPA ENTERPRISES</t>
  </si>
  <si>
    <t>Dombivli</t>
  </si>
  <si>
    <t>MUMC019179</t>
  </si>
  <si>
    <t>INSPIRA INTEGRATED SERVICES</t>
  </si>
  <si>
    <t>ULWE</t>
  </si>
  <si>
    <t>SHOP NO 1 LAKHANI EXOTICA BUILDING PLOT ULWE Navi Mumbai - 410206</t>
  </si>
  <si>
    <t>MUMC019569</t>
  </si>
  <si>
    <t>BABA AGENCIES</t>
  </si>
  <si>
    <t>SHOP NO 2 TANIYA STEPHEN RESIDENCY CHS LTD 2ND RD SHREEPRASHTHA NALLASOPARA WEST PALGHAR PALGHAR, Palghar - 401203</t>
  </si>
  <si>
    <t>NALLASOPARA</t>
  </si>
  <si>
    <t>MUMC019492</t>
  </si>
  <si>
    <t>HANDS ON TRADE PRIVATE LIMITED TALOJA 2</t>
  </si>
  <si>
    <t>M11-LODHA INDUTRIAL &amp; LOGISTIC PARK PALAVA II NOS 45/149/249/3 TO 49/7 &amp; 50/6 OF VILLAGE NARHEN TALUKA AMABERNAATH THANE</t>
  </si>
  <si>
    <t>TALOJA 2</t>
  </si>
  <si>
    <t>MUMC019040</t>
  </si>
  <si>
    <t>MOAZZAM ENTERPRISES</t>
  </si>
  <si>
    <t>CHIRABAZAR KALBADEVI Mumbai, Mumbai - 400002</t>
  </si>
  <si>
    <t>KALBADEVI</t>
  </si>
  <si>
    <t xml:space="preserve">SHOP NO 6 &amp; 4, MADHUVAN SOC R.J NAGAR PHOOL PADA RD VIRAR EAST, PALGHAR </t>
  </si>
  <si>
    <t>T2 ROAD, OSTWAL BY PASS ROAD,CIDCO VILLAGE H NO 373/522 CIDCO PALGHAR BOISAR (CT)</t>
  </si>
  <si>
    <t>Grnd Flr, A-003, Shiv Pooja Apt Ami Park Near Chakradhar Nagar,</t>
  </si>
  <si>
    <t>MUMC019643</t>
  </si>
  <si>
    <t>House No.3700, At - Ketkhadi, Post - Vangaon, Vangaon Road, Vangaon Railway Station, Tal - Dahanu, Vangaon, Palghar PALGHAR, Palghar - 401103</t>
  </si>
  <si>
    <t>EKVIRA DISTRIBUTORS</t>
  </si>
  <si>
    <t>MUMC019693</t>
  </si>
  <si>
    <t>KOPARKHAIRNE</t>
  </si>
  <si>
    <t>HOUSE NO.529, SHOP NO-3/4 MAHARASHTRA CHS BONKODE VILLAGE KOPARKHAIRNE NAVI MUMBAI Thane, Thane - 400709</t>
  </si>
  <si>
    <t>MUMC002948</t>
  </si>
  <si>
    <t>SNEH SAGAR SOCIETY,3/341/4124,TAGORE NAGAR KANNAMWAR NAGAR, VIKHROLI EAST,</t>
  </si>
  <si>
    <t>VIKHROLI E</t>
  </si>
  <si>
    <t>MUMC019732</t>
  </si>
  <si>
    <t>Devnarayan Distributors</t>
  </si>
  <si>
    <t>VIRAR E</t>
  </si>
  <si>
    <t>GALA NO 09 CHAUDHARY CHAWL KUMBHAEPADA VIRAR EAST PALGHAR, Palghar - 401303</t>
  </si>
  <si>
    <t>MUMC019003</t>
  </si>
  <si>
    <t>PRATHAM MARKETING</t>
  </si>
  <si>
    <t>DALAL STREET FORT MUMBAI Mumbai - 400089</t>
  </si>
  <si>
    <t xml:space="preserve">BIPL Vidyavihar </t>
  </si>
  <si>
    <t xml:space="preserve">BIPL Andheri </t>
  </si>
  <si>
    <t>MUMC019758</t>
  </si>
  <si>
    <t>RAHUL SALES</t>
  </si>
  <si>
    <t xml:space="preserve"> SHAHPUR </t>
  </si>
  <si>
    <t>SHOP NO 2 (HOUSE NO 624) SHANTARAM APT NEAR BASTA COLONY PO KHUTCCHAR TA SHAHPUR 421601 DIST THANE 421601</t>
  </si>
  <si>
    <t>MUMC019708</t>
  </si>
  <si>
    <t>CLOUDSTORE RETAIL PRIVATE LIMITED BHIWANDI 3</t>
  </si>
  <si>
    <t>UNIT NO 2 PREMISES NO B400 ONE K SQUARE INDUSTRIAL &amp; LOGISTICS PARK BEFORE PADGHA TOLL NAKA NASHIK MUMBAI HIGHWAY PADGHA BHIWANDI 421101</t>
  </si>
  <si>
    <t>MUMC019818</t>
  </si>
  <si>
    <t>S K ENTERPRISES</t>
  </si>
  <si>
    <t>SHOP NO 1 BK NO 1035 NEAR BASSERA MAIDAN ULHASNAGAR CAMP 3 ULHASNAGAR 421004</t>
  </si>
  <si>
    <t>MUMC019860</t>
  </si>
  <si>
    <t>MRINAL WATER SUPPLY</t>
  </si>
  <si>
    <t>SHOP NO 1 PANBUDYA NAGAR WADHEGHAR NAGAR KALYAN WEST 421301</t>
  </si>
  <si>
    <t>KALYAN WEST</t>
  </si>
  <si>
    <t>BIPL - SA WAREHOUSE-AARADHYA ENTERPRISES</t>
  </si>
  <si>
    <t>AARADHYA ENTERPRISES - SA</t>
  </si>
  <si>
    <t>VRINDHAVAN DHAM, SHOP NO.1, SECTOR 21 KHARGHAR. NAVI MUMBAI</t>
  </si>
  <si>
    <t>MUMC019918</t>
  </si>
  <si>
    <t>ISHWARI COLD DRINKS</t>
  </si>
  <si>
    <t>955/1, A SAHARA SANKUL WADA, Thane, Thane - 421312</t>
  </si>
  <si>
    <t>MUMC020086</t>
  </si>
  <si>
    <t>NEW NATIONAL DAIRY FARM</t>
  </si>
  <si>
    <t>SHOP NO 10 GRD FLR OLD IDEAL MARKET OPP MUNICIPAL SACHOOL KAUSA MUMBRA Thane, Thane - 400612</t>
  </si>
  <si>
    <t>MUMC020094</t>
  </si>
  <si>
    <t>Ground Floor, Shop No.106/C,, Patadia Complex CHS LTD, Janar Near-Bramhdev Mandir,, Bhayandar West,</t>
  </si>
  <si>
    <t>Bhayandar</t>
  </si>
  <si>
    <t>MUMC020117</t>
  </si>
  <si>
    <t>AQUA BLISSE</t>
  </si>
  <si>
    <t>SHOP NO 6 APEX AVENUE SECTOR 5A PLOT NO 44 SAI PRASAD ENCLAVE B-205 PLOT NO 27 SECTOR 7 KAMOTHE NAVI MUMBAI</t>
  </si>
  <si>
    <t>MUMC019961</t>
  </si>
  <si>
    <t>SUNITA ENTERPRISES</t>
  </si>
  <si>
    <t>NEAR MAMTA VILLA UMBARI GAON BADLAPUR KATAI PIPELINE ROAD DOMBIVALI (E) Thane, Thane - 421203</t>
  </si>
  <si>
    <t>DOMBIVALI ( E )</t>
  </si>
  <si>
    <t>ZEPTO PRIVATE LIMITED</t>
  </si>
  <si>
    <t>MUMC020252</t>
  </si>
  <si>
    <t>SHAIFAN ENTERPRISE</t>
  </si>
  <si>
    <t xml:space="preserve"> PALGHAR</t>
  </si>
  <si>
    <t>HOUSE NO 1534, VIKRAMGAD ZILLA PARISHAD SCHOOL KHADAKI, VIKRAMGAD Khadaki, Palghar, PALGHAR, Palghar - 401605</t>
  </si>
  <si>
    <t>SUZHAL</t>
  </si>
  <si>
    <t>MUMC019882</t>
  </si>
  <si>
    <t>YASH ENETERPRISES</t>
  </si>
  <si>
    <t>SHOP NO 7 D WING PANVELKAR ROYAL SQUERE NEAR BHARAT COLLEGE HENDARPADA BADLAPUR WEST 421503</t>
  </si>
  <si>
    <t>BADLAPUR W</t>
  </si>
  <si>
    <t>MUMC020300</t>
  </si>
  <si>
    <t>KUNAL ENTERPRISES</t>
  </si>
  <si>
    <t>SHOP NO 7 MANOHARKUNJ MANGESHI PHASE-1 KOLIVALI KALYAN WEST 421301</t>
  </si>
  <si>
    <t>MUMC020298</t>
  </si>
  <si>
    <t>WELLING AGENCY</t>
  </si>
  <si>
    <t>SARSWAT COLONY AURUMANDIR ROAD PENDSE NAGAR DOMBIVALI EAST 421201</t>
  </si>
  <si>
    <t>DOMBIVALI E</t>
  </si>
  <si>
    <t>MUMC020307</t>
  </si>
  <si>
    <t>AKANKSHA ENTERPRISES</t>
  </si>
  <si>
    <t>BADLAPUR E</t>
  </si>
  <si>
    <t>MUMC020352</t>
  </si>
  <si>
    <t>PARESH TRADERS</t>
  </si>
  <si>
    <t>MUMC020299</t>
  </si>
  <si>
    <t>VEDANT BHARAT TRADER</t>
  </si>
  <si>
    <t>40/687 EWS COLONY OPP BIRLA COLLAGE CHICKEN GHAR KALYAN WEST Thane, Thane - 421301</t>
  </si>
  <si>
    <t>MUMC019670</t>
  </si>
  <si>
    <t>GUPTA ENTERPRISES</t>
  </si>
  <si>
    <t>SR NO 248 GUPTA HOUSE NEAR STAR CITY JUCHANDRA NAIGAON EAST VASAI VIRAR MUNICIPAL CORPORATION Thane, Thane - 401208</t>
  </si>
  <si>
    <t>NAIGAON EAST</t>
  </si>
  <si>
    <t>MUMC017560</t>
  </si>
  <si>
    <t>RAGHAV HOSPITALITY PVT LTD-MANBHAVAN-N.MUMBAI</t>
  </si>
  <si>
    <t>NO F&amp;B-11 2ND FLR NEXUS SEAWOODS PLOT BLDG NO R1 SECTOR 40 RAILWAY STATION ROAD THANE, Thane - 400706</t>
  </si>
  <si>
    <t>SEAWOODS</t>
  </si>
  <si>
    <t>SHOP NO 5 SATNAM H APARTMENT NR ROYAL ALFA MEDICAL GOLMAIDAN ULHASNAGAR-2 Thane, Thane - 421301</t>
  </si>
  <si>
    <t>MUMC020170</t>
  </si>
  <si>
    <t>KAILASH PARBAT NX HOSPITALITY SERVICES</t>
  </si>
  <si>
    <t>MUMC020234</t>
  </si>
  <si>
    <t>NHAVA SHEVA BUSINESS PARK PRIVATE LIMITED</t>
  </si>
  <si>
    <t>PLOT NO406/FTWZ SECTOR 4 JNPT SEZ VILLAGE SAWARKHAR TALUKA URAN DISCT RAIGAD RAIGARH(MH), NAVI MUMBAI - 400707</t>
  </si>
  <si>
    <t>MUMC020476</t>
  </si>
  <si>
    <t>SHANTADURGA ENTERPRISES</t>
  </si>
  <si>
    <t>SURVE NO 1 90 FEET ROAD KRUSHNAI BUNGLOW NEAR MANGESHI DEZZLE CRICKET TURF DOMBIVALI EAST 421203</t>
  </si>
  <si>
    <t>GROUND, BLDG NO - 3 / SHOP 38, C WING, SHREE SHARNAM CHS LTD KANAKIA ROAD,UNIQUE GARDEN, OM MILK CENTRE, MIRA ROAD EAST 401107</t>
  </si>
  <si>
    <t xml:space="preserve">MUMC020548 </t>
  </si>
  <si>
    <t>MUMC020630</t>
  </si>
  <si>
    <t>SHIZA ENTERPRISES</t>
  </si>
  <si>
    <t>SHOP NO 6 KRISH APARTMENT  CTS NO 213 KOHOJGAON KAMLAKAR NAGAR AMBERNATH WEST Thane, Thane - 421505</t>
  </si>
  <si>
    <t>AMBERNATH W</t>
  </si>
  <si>
    <t>MUMC020713</t>
  </si>
  <si>
    <t>A R ENTERPRISES</t>
  </si>
  <si>
    <t>SHOP NO 9 SANT MUKTA BLDG SANT NAGAR VIRAR EAST PALGHAR, Palghar - 401305</t>
  </si>
  <si>
    <t>Distance from Bhiwandi</t>
  </si>
  <si>
    <t>GALA NO 1 /20 B 08 A P M C KALYAN WEST 421301</t>
  </si>
  <si>
    <t>BIPL HINDUSTAN NAKA</t>
  </si>
  <si>
    <t>BIPL- OWN WAREHOUSE - HINDUSTAN NAKA..</t>
  </si>
  <si>
    <t>-</t>
  </si>
  <si>
    <t>Maersk Warehouse RK LOGIWORLD, 84G3+4PV, Yewai, Maharashtra 421302</t>
  </si>
  <si>
    <t>SHOP NO 02,UMARPADA BOIDA PADA NAIGAON LINK ROAD Naigaon 401202</t>
  </si>
  <si>
    <t>Gala no 3, Sandip gaon Lodha regency man pada diva road Dombivli east 421204</t>
  </si>
  <si>
    <t>MUMC020827</t>
  </si>
  <si>
    <t>MS BLUE JELLY TRADERS</t>
  </si>
  <si>
    <t>Nallasopara E</t>
  </si>
  <si>
    <t>Shop No 04, Krishna Kunj Gouraipada Road Nallasopara East Vasai Virar Palghar - 401209</t>
  </si>
  <si>
    <t>MUMC020821</t>
  </si>
  <si>
    <t>SHOP NO 6 MANOHARKUNJ MANGESHI PHASE 1 KOLIVALI KALYAN WEST Thane - 421301</t>
  </si>
  <si>
    <t>KANDIVAI</t>
  </si>
  <si>
    <t>SHOP NO.9 &amp; 10,GURUSADAN BLDGNO.2 SHIVAJI CHOWK BADLAPUR(EAST),PIN-421 503. 421503</t>
  </si>
  <si>
    <t>MOULI KRUPA BUILDING HANUMAN NAGAR MANDA TITWALA WEST 421605</t>
  </si>
  <si>
    <t xml:space="preserve">FOUNTAIN CITY WATER PARK AND BANQUET HALL NH-48 SAHUNAVGHAR 401209  GUJARAT HIGHWAY </t>
  </si>
  <si>
    <t xml:space="preserve">SHOP NO 04, WING A SAKHARAM COMPLEX NR LOW SUPER MARKET AAGASAN RD, </t>
  </si>
  <si>
    <t>MUMC020721</t>
  </si>
  <si>
    <t>RADHA NAMKEENS AND DRYFRUITS</t>
  </si>
  <si>
    <t>SHANTIKUNJ APARTMENT SHOP NO 2 CHERPOLI TAL SHAHAPUR DIST THANE 421601</t>
  </si>
  <si>
    <t xml:space="preserve">MUMC020822 </t>
  </si>
  <si>
    <t>JAI BHAWANI TRADERS</t>
  </si>
  <si>
    <t>SHOP NO 10 YOGAM ENCLAVE NANDIVU ROAD DESLE PADA GAJANAN CHOWK DOMBIVLI EAST - 421204</t>
  </si>
  <si>
    <t>DOMBIVLI EAST</t>
  </si>
  <si>
    <t>NR. VITTAL MANDIR MUKKAM POST VANGANI TALUKA AMBARNATH 421502</t>
  </si>
  <si>
    <t>MUMC020381</t>
  </si>
  <si>
    <t>G S ENTERPRISES</t>
  </si>
  <si>
    <t>HOUSE NO 1029 JAMBHIVALI THAKUR PADA VILLAGE MIDC ANAND NANAGR AMBARNATH EAST 421501</t>
  </si>
  <si>
    <t>AMBARNATH EAST</t>
  </si>
  <si>
    <t>MUMC017786</t>
  </si>
  <si>
    <t>FLIPKART INDIA PVT LTD</t>
  </si>
  <si>
    <t>SIDHAM G WARE HOUSE AT VILLAGE DOHALE POST PADGHA OPP VAISHNO DEVI MANDIR TALUKA BHIWANDI 421101</t>
  </si>
  <si>
    <t>Plot No – 119-D, CTS NO.334 B, Government Industrial Estate Hindustan Naka Charkop Kandivali West, Mumbai, MUMBAI,MH - 400067</t>
  </si>
  <si>
    <t>BIPL - CP WAREHOUSE - ORSINO FOODS &amp; BEVERAGES PVT LTD</t>
  </si>
  <si>
    <t>BIPL- THANE -WAREHOUSE(MANPADA)</t>
  </si>
  <si>
    <t>BIPL-OWN WAREHOUSE-BHIWANDI WAREHOUSE</t>
  </si>
  <si>
    <t xml:space="preserve">BIPL Thane </t>
  </si>
  <si>
    <t>BIPL Bhiwandi</t>
  </si>
  <si>
    <t>VIDYAVIHAR</t>
  </si>
  <si>
    <t>Godown no 14, Kothari Compound, Survey No.72 Gut No. 59/28, Kothari Compound, Thane</t>
  </si>
  <si>
    <t>RK LOGI WORLD COMPOUND WAREHOUSE NO – F1, VILLAGE YEWAI, NEAR KHODIYAAR TEMPLE TAL. BHIWANDI– YEWAI, BHIWANDI, DIST THANE, Thane,MH - 421302</t>
  </si>
  <si>
    <t xml:space="preserve">STOCK TRANSFER </t>
  </si>
  <si>
    <t>DEPOT'S</t>
  </si>
  <si>
    <t>MUMC020992</t>
  </si>
  <si>
    <t>SHAMIK ENTERPRISES</t>
  </si>
  <si>
    <t>SHOP NO 2 PLOT NO 131 SEC 21 GHANSOLI NAVI MUMBAI 400701</t>
  </si>
  <si>
    <t>BADLAPUR AMNERNATH PIPE LINE ROAD, GAJANAN SOCIETY SHOP NO 4, OPP KONI PALAVA, KALYAN THANE</t>
  </si>
  <si>
    <t>R - 10, CHHEDA SADAN DOMBIVALI EAST SHIV MANDIR ROAD</t>
  </si>
  <si>
    <t>SHOP NO 1,2,3&amp;4 NEW VIDYUT SAGAR CHS NR CHAITANYA SCHOOL SURYA NAGAR KATRAP BADLAPUR EAST 421503</t>
  </si>
  <si>
    <t>GRD,SHOP NO.03, JIGNESH JYOT CHS LTD TATA LINE Dombivli E SHRADHANAND CROSS ROAD</t>
  </si>
  <si>
    <t>MUMC021024</t>
  </si>
  <si>
    <t>COASTAL KINGS ENTERPRISE</t>
  </si>
  <si>
    <t>POLE NO M-7-B SHANI MANDIR ROAD VASAI 401201</t>
  </si>
  <si>
    <t>MUMC019905</t>
  </si>
  <si>
    <t>HOTEL GURUPRASAD</t>
  </si>
  <si>
    <t>MHASA TAL MURBAD DIST,THANE THANE Thane, Thane - 421401</t>
  </si>
  <si>
    <t>MUMC021170</t>
  </si>
  <si>
    <t>NOBLE ORGANICS PVT LTD</t>
  </si>
  <si>
    <t>DELTA STELLAR PLOT NO 43/4 TTC MIDC INDUSTRIAL AREA VILLAGE SHRAVANE NERUL NAVI MUMBAI 400705</t>
  </si>
  <si>
    <t>NERUL</t>
  </si>
  <si>
    <t>BIPL- ANDHERI -NEW PLANMUM</t>
  </si>
  <si>
    <t>Bisleri International Private Limited, Western Urban Rd, Parshiwada, Chakala, Andheri East, Mumbai, Maharashtra 400099</t>
  </si>
  <si>
    <t>MUMC020624</t>
  </si>
  <si>
    <t>PRATISH ENTERPRISE LLP VASHI</t>
  </si>
  <si>
    <t>PALM BEACH GALLERY MALL 19 SEC VASHI Thane, Thane - 400703</t>
  </si>
  <si>
    <t>MUMC020849</t>
  </si>
  <si>
    <t>NEW TRIMURTI DRY FRUIT AND GENERAL STORES</t>
  </si>
  <si>
    <t>SHOP NO 2 SURUEY NO 79/A SHIVAM APARTMENT KARANJA ROAD TAL URAN RAIGAD MAHARASHTRA RAIGARH(MH), NAVI MUMBAI - 400702</t>
  </si>
  <si>
    <t>1002,MUSLIM MOHALLA,NEAR URDU SCHO0L BAKED ALI ROAD,OPP RAJLAXMI KIRANA, 421401</t>
  </si>
  <si>
    <t>MUMC020823</t>
  </si>
  <si>
    <t>AMUL ICE CREAM PARLOUR ND WATER SUPPLIERS</t>
  </si>
  <si>
    <t>BHAV RESIDENCY BUILDING NO 6 GALA NO 10 NEAR DATTA MANDIR KASHELI Thane - 421302</t>
  </si>
  <si>
    <t>MUMC020591</t>
  </si>
  <si>
    <t>HARI HARA HOSPITALITY</t>
  </si>
  <si>
    <t>SURVEY NO 19 &amp; 20 PUNE EXP HIGHWAY KHOPOLI KHALAPUR RAIGAD 410203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</si>
</sst>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11"/>
      <color theme="1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0"/>
      <color theme="0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1" fillId="0" borderId="0"/>
    <xf numFmtId="0" fontId="8" fillId="0" borderId="0"/>
    <xf numFmtId="0" fontId="9" fillId="0" borderId="0"/>
  </cellStyleXfs>
  <cellXfs count="145">
    <xf numFmtId="0" fontId="0" fillId="0" borderId="0" xfId="0"/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/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2" fillId="0" borderId="2" xfId="0" applyFont="1" applyBorder="1"/>
    <xf numFmtId="0" fontId="11" fillId="0" borderId="2" xfId="0" applyFont="1" applyBorder="1" applyAlignment="1">
      <alignment vertical="center"/>
    </xf>
    <xf numFmtId="0" fontId="2" fillId="0" borderId="0" xfId="0" applyFont="1"/>
    <xf numFmtId="0" fontId="10" fillId="0" borderId="2" xfId="0" applyFont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3" fillId="5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0" borderId="6" xfId="0" applyBorder="1"/>
    <xf numFmtId="0" fontId="0" fillId="7" borderId="2" xfId="0" applyFill="1" applyBorder="1"/>
    <xf numFmtId="0" fontId="4" fillId="4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0" fontId="14" fillId="0" borderId="0" xfId="0" applyFont="1"/>
    <xf numFmtId="0" fontId="14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/>
    </xf>
    <xf numFmtId="0" fontId="12" fillId="0" borderId="2" xfId="0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left" vertical="center"/>
    </xf>
    <xf numFmtId="0" fontId="13" fillId="4" borderId="2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3" fillId="4" borderId="2" xfId="0" applyFont="1" applyFill="1" applyBorder="1"/>
    <xf numFmtId="164" fontId="6" fillId="0" borderId="0" xfId="1" applyNumberFormat="1" applyFont="1" applyFill="1" applyBorder="1"/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left"/>
    </xf>
    <xf numFmtId="0" fontId="0" fillId="5" borderId="2" xfId="0" applyFill="1" applyBorder="1"/>
    <xf numFmtId="1" fontId="0" fillId="6" borderId="2" xfId="0" applyNumberFormat="1" applyFill="1" applyBorder="1"/>
    <xf numFmtId="1" fontId="0" fillId="8" borderId="2" xfId="0" applyNumberFormat="1" applyFill="1" applyBorder="1"/>
    <xf numFmtId="1" fontId="3" fillId="7" borderId="2" xfId="0" applyNumberFormat="1" applyFont="1" applyFill="1" applyBorder="1" applyAlignment="1">
      <alignment horizontal="center" vertical="center"/>
    </xf>
    <xf numFmtId="1" fontId="3" fillId="6" borderId="2" xfId="0" applyNumberFormat="1" applyFont="1" applyFill="1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center"/>
    </xf>
    <xf numFmtId="1" fontId="13" fillId="4" borderId="2" xfId="1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3" fillId="5" borderId="0" xfId="0" applyNumberFormat="1" applyFont="1" applyFill="1" applyAlignment="1">
      <alignment horizontal="center" vertical="center"/>
    </xf>
    <xf numFmtId="1" fontId="3" fillId="7" borderId="0" xfId="0" applyNumberFormat="1" applyFont="1" applyFill="1" applyAlignment="1">
      <alignment horizontal="center" vertical="center"/>
    </xf>
    <xf numFmtId="1" fontId="3" fillId="6" borderId="0" xfId="0" applyNumberFormat="1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/>
    </xf>
    <xf numFmtId="1" fontId="12" fillId="0" borderId="7" xfId="0" applyNumberFormat="1" applyFont="1" applyBorder="1" applyAlignment="1">
      <alignment horizontal="center" vertical="center"/>
    </xf>
    <xf numFmtId="1" fontId="12" fillId="0" borderId="7" xfId="0" applyNumberFormat="1" applyFont="1" applyBorder="1" applyAlignment="1">
      <alignment horizontal="left" vertical="center"/>
    </xf>
    <xf numFmtId="0" fontId="15" fillId="4" borderId="0" xfId="0" applyFont="1" applyFill="1" applyAlignment="1">
      <alignment vertical="center" wrapText="1"/>
    </xf>
    <xf numFmtId="0" fontId="0" fillId="2" borderId="2" xfId="0" applyFill="1" applyBorder="1"/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3" fillId="0" borderId="6" xfId="0" applyFont="1" applyBorder="1" applyAlignment="1">
      <alignment vertical="center"/>
    </xf>
    <xf numFmtId="0" fontId="18" fillId="10" borderId="2" xfId="0" applyFont="1" applyFill="1" applyBorder="1" applyAlignment="1">
      <alignment vertical="center"/>
    </xf>
    <xf numFmtId="0" fontId="7" fillId="0" borderId="2" xfId="0" applyFont="1" applyBorder="1"/>
    <xf numFmtId="0" fontId="0" fillId="0" borderId="7" xfId="0" applyBorder="1"/>
    <xf numFmtId="0" fontId="3" fillId="2" borderId="2" xfId="0" applyFont="1" applyFill="1" applyBorder="1" applyAlignment="1">
      <alignment horizontal="left"/>
    </xf>
    <xf numFmtId="1" fontId="12" fillId="0" borderId="9" xfId="0" applyNumberFormat="1" applyFont="1" applyBorder="1" applyAlignment="1">
      <alignment horizontal="left" vertical="center"/>
    </xf>
    <xf numFmtId="1" fontId="12" fillId="0" borderId="0" xfId="0" applyNumberFormat="1" applyFont="1" applyAlignment="1">
      <alignment horizontal="left" vertical="center"/>
    </xf>
    <xf numFmtId="1" fontId="12" fillId="11" borderId="2" xfId="0" applyNumberFormat="1" applyFont="1" applyFill="1" applyBorder="1" applyAlignment="1">
      <alignment horizontal="left" vertical="center"/>
    </xf>
    <xf numFmtId="1" fontId="3" fillId="11" borderId="2" xfId="0" applyNumberFormat="1" applyFont="1" applyFill="1" applyBorder="1" applyAlignment="1">
      <alignment horizontal="center" vertical="center"/>
    </xf>
    <xf numFmtId="1" fontId="12" fillId="12" borderId="2" xfId="0" applyNumberFormat="1" applyFont="1" applyFill="1" applyBorder="1" applyAlignment="1">
      <alignment horizontal="left" vertical="center"/>
    </xf>
    <xf numFmtId="1" fontId="3" fillId="12" borderId="2" xfId="0" applyNumberFormat="1" applyFont="1" applyFill="1" applyBorder="1" applyAlignment="1">
      <alignment horizontal="center" vertical="center"/>
    </xf>
    <xf numFmtId="1" fontId="12" fillId="13" borderId="2" xfId="0" applyNumberFormat="1" applyFont="1" applyFill="1" applyBorder="1" applyAlignment="1">
      <alignment horizontal="left" vertical="center"/>
    </xf>
    <xf numFmtId="1" fontId="3" fillId="13" borderId="2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vertical="center"/>
    </xf>
    <xf numFmtId="1" fontId="3" fillId="2" borderId="0" xfId="0" applyNumberFormat="1" applyFont="1" applyFill="1" applyAlignment="1">
      <alignment horizontal="center" vertical="center"/>
    </xf>
    <xf numFmtId="0" fontId="0" fillId="0" borderId="1" xfId="0" applyBorder="1"/>
    <xf numFmtId="0" fontId="3" fillId="3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15" borderId="2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/>
    </xf>
    <xf numFmtId="0" fontId="5" fillId="6" borderId="2" xfId="0" applyFont="1" applyFill="1" applyBorder="1" applyAlignment="1">
      <alignment vertical="center"/>
    </xf>
    <xf numFmtId="0" fontId="12" fillId="6" borderId="2" xfId="0" applyFont="1" applyFill="1" applyBorder="1" applyAlignment="1">
      <alignment horizontal="left" vertical="center"/>
    </xf>
    <xf numFmtId="0" fontId="0" fillId="11" borderId="2" xfId="0" applyFill="1" applyBorder="1"/>
    <xf numFmtId="1" fontId="0" fillId="0" borderId="0" xfId="0" applyNumberFormat="1"/>
    <xf numFmtId="0" fontId="12" fillId="0" borderId="6" xfId="0" applyFont="1" applyBorder="1" applyAlignment="1">
      <alignment horizontal="left"/>
    </xf>
    <xf numFmtId="1" fontId="0" fillId="8" borderId="0" xfId="0" applyNumberFormat="1" applyFill="1"/>
    <xf numFmtId="0" fontId="3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left" vertical="center"/>
    </xf>
    <xf numFmtId="1" fontId="3" fillId="16" borderId="2" xfId="0" applyNumberFormat="1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/>
    </xf>
    <xf numFmtId="1" fontId="2" fillId="16" borderId="2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vertical="center"/>
    </xf>
    <xf numFmtId="1" fontId="3" fillId="0" borderId="5" xfId="0" applyNumberFormat="1" applyFont="1" applyBorder="1" applyAlignment="1">
      <alignment horizontal="center" vertical="center"/>
    </xf>
    <xf numFmtId="1" fontId="3" fillId="11" borderId="5" xfId="0" applyNumberFormat="1" applyFont="1" applyFill="1" applyBorder="1" applyAlignment="1">
      <alignment horizontal="center" vertical="center"/>
    </xf>
    <xf numFmtId="1" fontId="3" fillId="12" borderId="5" xfId="0" applyNumberFormat="1" applyFont="1" applyFill="1" applyBorder="1" applyAlignment="1">
      <alignment horizontal="center" vertical="center"/>
    </xf>
    <xf numFmtId="1" fontId="3" fillId="13" borderId="5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left" vertical="center"/>
    </xf>
    <xf numFmtId="1" fontId="3" fillId="6" borderId="5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12" fillId="0" borderId="10" xfId="0" applyNumberFormat="1" applyFont="1" applyBorder="1" applyAlignment="1">
      <alignment horizontal="left" vertical="center"/>
    </xf>
    <xf numFmtId="1" fontId="12" fillId="0" borderId="4" xfId="0" applyNumberFormat="1" applyFont="1" applyBorder="1" applyAlignment="1">
      <alignment horizontal="left" vertical="center"/>
    </xf>
    <xf numFmtId="1" fontId="3" fillId="2" borderId="5" xfId="0" applyNumberFormat="1" applyFont="1" applyFill="1" applyBorder="1" applyAlignment="1">
      <alignment horizontal="center" vertical="center"/>
    </xf>
    <xf numFmtId="1" fontId="3" fillId="17" borderId="2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vertical="center" wrapText="1"/>
    </xf>
    <xf numFmtId="1" fontId="3" fillId="17" borderId="0" xfId="0" applyNumberFormat="1" applyFont="1" applyFill="1" applyAlignment="1">
      <alignment horizontal="center" vertical="center"/>
    </xf>
    <xf numFmtId="1" fontId="3" fillId="17" borderId="6" xfId="0" applyNumberFormat="1" applyFont="1" applyFill="1" applyBorder="1" applyAlignment="1">
      <alignment horizontal="center" vertical="center"/>
    </xf>
    <xf numFmtId="1" fontId="3" fillId="18" borderId="2" xfId="0" applyNumberFormat="1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/>
    </xf>
    <xf numFmtId="1" fontId="3" fillId="16" borderId="0" xfId="0" applyNumberFormat="1" applyFont="1" applyFill="1" applyAlignment="1">
      <alignment horizontal="center" vertical="center"/>
    </xf>
    <xf numFmtId="1" fontId="3" fillId="18" borderId="0" xfId="0" applyNumberFormat="1" applyFont="1" applyFill="1" applyAlignment="1">
      <alignment horizontal="center" vertical="center"/>
    </xf>
    <xf numFmtId="0" fontId="11" fillId="0" borderId="1" xfId="0" applyFont="1" applyBorder="1" applyAlignment="1">
      <alignment vertical="center"/>
    </xf>
    <xf numFmtId="1" fontId="3" fillId="9" borderId="2" xfId="0" applyNumberFormat="1" applyFont="1" applyFill="1" applyBorder="1" applyAlignment="1">
      <alignment horizontal="center" vertical="center"/>
    </xf>
    <xf numFmtId="1" fontId="3" fillId="9" borderId="0" xfId="0" applyNumberFormat="1" applyFont="1" applyFill="1" applyAlignment="1">
      <alignment horizontal="center" vertical="center"/>
    </xf>
    <xf numFmtId="0" fontId="2" fillId="0" borderId="1" xfId="0" applyFont="1" applyBorder="1"/>
    <xf numFmtId="0" fontId="20" fillId="0" borderId="0" xfId="0" applyFont="1"/>
    <xf numFmtId="0" fontId="12" fillId="0" borderId="3" xfId="0" applyFont="1" applyBorder="1" applyAlignment="1">
      <alignment horizontal="left"/>
    </xf>
    <xf numFmtId="1" fontId="3" fillId="19" borderId="2" xfId="0" applyNumberFormat="1" applyFont="1" applyFill="1" applyBorder="1" applyAlignment="1">
      <alignment horizontal="center" vertical="center"/>
    </xf>
    <xf numFmtId="4" fontId="12" fillId="0" borderId="0" xfId="0" applyNumberFormat="1" applyFont="1" applyAlignment="1">
      <alignment horizontal="left"/>
    </xf>
  </cellXfs>
  <cellStyles count="6">
    <cellStyle name="Comma" xfId="1" builtinId="3"/>
    <cellStyle name="Normal" xfId="0" builtinId="0"/>
    <cellStyle name="Normal 2" xfId="5" xr:uid="{00000000-0005-0000-0000-000002000000}"/>
    <cellStyle name="Normal 2 2" xfId="4" xr:uid="{00000000-0005-0000-0000-000003000000}"/>
    <cellStyle name="Normal 3" xfId="3" xr:uid="{00000000-0005-0000-0000-000004000000}"/>
    <cellStyle name="Normal 5" xfId="2" xr:uid="{00000000-0005-0000-0000-000005000000}"/>
  </cellStyles>
  <dxfs count="0"/>
  <tableStyles count="0" defaultTableStyle="TableStyleMedium2" defaultPivotStyle="PivotStyleLight16"/>
  <colors>
    <mruColors>
      <color rgb="FFFF99FF"/>
      <color rgb="FF66FFCC"/>
      <color rgb="FFFF9933"/>
      <color rgb="FFFF6600"/>
      <color rgb="FF99FF33"/>
      <color rgb="FFFF99CC"/>
      <color rgb="FF99FF66"/>
      <color rgb="FF7BF9F9"/>
      <color rgb="FF00FF99"/>
      <color rgb="FF4AF8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Sunny%20Gotal/Downloads/Freight%20Revision%20calculation%20-%20Mumbai%201%20%202%20FY%2021-22.xlsx" TargetMode="External"/><Relationship Id="rId1" Type="http://schemas.openxmlformats.org/officeDocument/2006/relationships/externalLinkPath" Target="/Users/Sunny%20Gotal/Downloads/Freight%20Revision%20calculation%20-%20Mumbai%201%20%202%20FY%2021-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xed cost"/>
      <sheetName val="per case cost"/>
      <sheetName val="mumbi 2"/>
      <sheetName val="Sept 18 M1"/>
      <sheetName val="June 19 M2"/>
      <sheetName val="MUMBAI -1"/>
      <sheetName val="MUMBAI - 2"/>
      <sheetName val="DIESEL HIKE CALCULATION"/>
      <sheetName val="Sheet2"/>
      <sheetName val="M2 Trip Matr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AB2">
            <v>0</v>
          </cell>
          <cell r="AC2">
            <v>0</v>
          </cell>
          <cell r="AD2">
            <v>0</v>
          </cell>
        </row>
        <row r="3">
          <cell r="AB3">
            <v>0</v>
          </cell>
          <cell r="AC3" t="str">
            <v>0-20</v>
          </cell>
          <cell r="AD3">
            <v>3715</v>
          </cell>
        </row>
        <row r="4">
          <cell r="AB4">
            <v>21</v>
          </cell>
          <cell r="AC4" t="str">
            <v>21-30</v>
          </cell>
          <cell r="AD4">
            <v>4357</v>
          </cell>
        </row>
        <row r="5">
          <cell r="AB5">
            <v>31</v>
          </cell>
          <cell r="AC5" t="str">
            <v>31-50</v>
          </cell>
          <cell r="AD5">
            <v>4902</v>
          </cell>
        </row>
        <row r="6">
          <cell r="AB6">
            <v>51</v>
          </cell>
          <cell r="AC6" t="str">
            <v>51-80</v>
          </cell>
          <cell r="AD6">
            <v>6290</v>
          </cell>
        </row>
        <row r="7">
          <cell r="AB7">
            <v>81</v>
          </cell>
          <cell r="AC7" t="str">
            <v>81-110</v>
          </cell>
          <cell r="AD7">
            <v>8454</v>
          </cell>
        </row>
        <row r="8">
          <cell r="AB8">
            <v>110</v>
          </cell>
          <cell r="AC8" t="str">
            <v>110-130</v>
          </cell>
          <cell r="AD8">
            <v>9818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488"/>
  <sheetViews>
    <sheetView tabSelected="1" workbookViewId="0">
      <selection activeCell="F17" sqref="F17"/>
    </sheetView>
  </sheetViews>
  <sheetFormatPr defaultRowHeight="15" x14ac:dyDescent="0.25"/>
  <cols>
    <col min="1" max="1" width="4.140625" style="7" bestFit="1" customWidth="1"/>
    <col min="2" max="2" width="8.7109375" bestFit="1" customWidth="1"/>
    <col min="3" max="3" width="9" bestFit="1" customWidth="1"/>
    <col min="4" max="4" width="13.85546875" bestFit="1" customWidth="1"/>
    <col min="5" max="5" width="40.140625" customWidth="1"/>
    <col min="6" max="6" width="88.28515625" customWidth="1"/>
    <col min="7" max="7" width="28.85546875" bestFit="1" customWidth="1"/>
    <col min="8" max="8" width="7.85546875" style="8" customWidth="1"/>
    <col min="9" max="9" width="8.42578125" hidden="1" customWidth="1"/>
    <col min="10" max="10" width="8.5703125" hidden="1" customWidth="1"/>
    <col min="11" max="11" width="6.7109375" hidden="1" customWidth="1"/>
    <col min="12" max="12" width="13.28515625" bestFit="1" customWidth="1"/>
    <col min="13" max="13" width="7.5703125" customWidth="1"/>
    <col min="14" max="14" width="7" customWidth="1"/>
    <col min="15" max="15" width="9.85546875" bestFit="1" customWidth="1"/>
    <col min="16" max="16" width="7.5703125" customWidth="1"/>
    <col min="17" max="17" width="6.7109375" customWidth="1"/>
    <col min="18" max="18" width="10.140625" bestFit="1" customWidth="1"/>
    <col min="19" max="19" width="7.5703125" customWidth="1"/>
    <col min="20" max="20" width="9.140625" customWidth="1"/>
    <col min="21" max="21" width="12.85546875" bestFit="1" customWidth="1"/>
    <col min="22" max="22" width="7.5703125" customWidth="1"/>
    <col min="23" max="23" width="11.85546875" customWidth="1"/>
    <col min="24" max="24" width="11.42578125" bestFit="1" customWidth="1"/>
    <col min="25" max="26" width="11.85546875" customWidth="1"/>
    <col min="27" max="27" width="8.5703125" customWidth="1"/>
    <col min="28" max="28" width="5.7109375" customWidth="1"/>
    <col min="29" max="29" width="12.140625" customWidth="1"/>
    <col min="30" max="30" width="7.28515625" customWidth="1"/>
    <col min="31" max="31" width="6.28515625" customWidth="1"/>
    <col min="32" max="32" width="8.42578125" customWidth="1"/>
    <col min="33" max="33" width="10.28515625" customWidth="1"/>
    <col min="34" max="35" width="17" customWidth="1"/>
    <col min="36" max="36" width="8.5703125" customWidth="1"/>
    <col min="37" max="37" width="7.5703125" customWidth="1"/>
    <col min="38" max="38" width="12.140625" customWidth="1"/>
    <col min="39" max="39" width="7.28515625" customWidth="1"/>
    <col min="40" max="40" width="8.140625" customWidth="1"/>
    <col min="41" max="41" width="9.42578125" customWidth="1"/>
    <col min="42" max="43" width="5.5703125" customWidth="1"/>
    <col min="44" max="44" width="6.7109375" bestFit="1" customWidth="1"/>
    <col min="45" max="46" width="5.5703125" customWidth="1"/>
    <col min="47" max="47" width="6.7109375" customWidth="1"/>
    <col min="48" max="48" width="4" bestFit="1" customWidth="1"/>
    <col min="49" max="49" width="7.5703125" bestFit="1" customWidth="1"/>
    <col min="50" max="50" width="12" bestFit="1" customWidth="1"/>
    <col min="55" max="55" width="11" bestFit="1" customWidth="1"/>
  </cols>
  <sheetData>
    <row r="1" spans="1:54" x14ac:dyDescent="0.25">
      <c r="N1" t="s">
        <v>835</v>
      </c>
      <c r="Q1" t="s">
        <v>1201</v>
      </c>
      <c r="W1" t="s">
        <v>595</v>
      </c>
      <c r="X1" t="s">
        <v>1459</v>
      </c>
      <c r="AC1" t="s">
        <v>1256</v>
      </c>
      <c r="AF1" t="s">
        <v>1284</v>
      </c>
      <c r="AI1" t="s">
        <v>1305</v>
      </c>
    </row>
    <row r="2" spans="1:54" s="27" customFormat="1" ht="44.25" customHeight="1" x14ac:dyDescent="0.2">
      <c r="A2" s="16" t="s">
        <v>3</v>
      </c>
      <c r="B2" s="16" t="s">
        <v>5</v>
      </c>
      <c r="C2" s="16" t="s">
        <v>6</v>
      </c>
      <c r="D2" s="16"/>
      <c r="E2" s="16" t="s">
        <v>7</v>
      </c>
      <c r="F2" s="16" t="s">
        <v>8</v>
      </c>
      <c r="G2" s="16" t="s">
        <v>9</v>
      </c>
      <c r="H2" s="18" t="s">
        <v>10</v>
      </c>
      <c r="I2" s="96" t="s">
        <v>11</v>
      </c>
      <c r="J2" s="97"/>
      <c r="K2" s="98"/>
      <c r="L2" s="25" t="s">
        <v>12</v>
      </c>
      <c r="M2" s="25"/>
      <c r="N2" s="25"/>
      <c r="O2" s="25" t="s">
        <v>13</v>
      </c>
      <c r="P2" s="25"/>
      <c r="Q2" s="25"/>
      <c r="R2" s="25" t="s">
        <v>14</v>
      </c>
      <c r="S2" s="25"/>
      <c r="T2" s="25"/>
      <c r="U2" s="25" t="s">
        <v>15</v>
      </c>
      <c r="V2" s="25"/>
      <c r="W2" s="25"/>
      <c r="X2" s="25" t="s">
        <v>1454</v>
      </c>
      <c r="Y2" s="25"/>
      <c r="Z2" s="25"/>
      <c r="AA2" s="25" t="s">
        <v>546</v>
      </c>
      <c r="AB2" s="25"/>
      <c r="AC2" s="25"/>
      <c r="AD2" s="25" t="s">
        <v>1257</v>
      </c>
      <c r="AE2" s="25"/>
      <c r="AF2" s="25"/>
      <c r="AG2" s="25" t="s">
        <v>1268</v>
      </c>
      <c r="AH2" s="25"/>
      <c r="AI2" s="25"/>
      <c r="AJ2" s="25" t="s">
        <v>16</v>
      </c>
      <c r="AK2" s="25"/>
      <c r="AL2" s="25"/>
      <c r="AM2" s="25" t="s">
        <v>724</v>
      </c>
      <c r="AN2" s="25"/>
      <c r="AO2" s="25"/>
      <c r="AP2" s="25" t="s">
        <v>1268</v>
      </c>
      <c r="AQ2" s="25"/>
      <c r="AR2" s="25"/>
      <c r="AS2" s="130"/>
      <c r="AT2" s="130"/>
      <c r="AV2" s="28" t="s">
        <v>19</v>
      </c>
      <c r="AW2" s="28" t="s">
        <v>17</v>
      </c>
      <c r="AX2" s="28" t="s">
        <v>18</v>
      </c>
    </row>
    <row r="3" spans="1:54" s="27" customFormat="1" ht="12.75" x14ac:dyDescent="0.2">
      <c r="A3" s="32">
        <v>1</v>
      </c>
      <c r="B3" s="13" t="s">
        <v>21</v>
      </c>
      <c r="C3" s="10" t="s">
        <v>22</v>
      </c>
      <c r="D3" s="10" t="s">
        <v>902</v>
      </c>
      <c r="E3" s="11" t="s">
        <v>461</v>
      </c>
      <c r="F3" s="26" t="s">
        <v>23</v>
      </c>
      <c r="G3" s="6" t="s">
        <v>24</v>
      </c>
      <c r="H3" s="33">
        <v>421301</v>
      </c>
      <c r="I3" s="90">
        <v>99</v>
      </c>
      <c r="J3" s="90" t="str">
        <f t="shared" ref="J3:J20" si="0">VLOOKUP(I3,$AV$4:$AW$9,2,1)</f>
        <v>81-110</v>
      </c>
      <c r="K3" s="91">
        <f t="shared" ref="K3:K36" si="1">VLOOKUP(J3,$AW$3:$AX$9,2,0)</f>
        <v>8747.8561594387575</v>
      </c>
      <c r="L3" s="35">
        <v>22</v>
      </c>
      <c r="M3" s="35" t="str">
        <f t="shared" ref="M3:M20" si="2">VLOOKUP(L3,$AV$4:$AW$9,2,1)</f>
        <v>21-30</v>
      </c>
      <c r="N3" s="36">
        <f t="shared" ref="N3:N20" si="3">VLOOKUP(M3,$AW$3:$AX$9,2,0)</f>
        <v>4508.6394748902885</v>
      </c>
      <c r="O3" s="51">
        <v>60</v>
      </c>
      <c r="P3" s="51" t="str">
        <f>VLOOKUP(O3,$AV$4:$AW$9,2,1)</f>
        <v>51-80</v>
      </c>
      <c r="Q3" s="51">
        <f t="shared" ref="Q3:Q66" si="4">VLOOKUP(P3,$AW$3:$AX$9,2,0)</f>
        <v>6509</v>
      </c>
      <c r="R3" s="49">
        <v>43</v>
      </c>
      <c r="S3" s="49" t="str">
        <f t="shared" ref="S3:S66" si="5">VLOOKUP(R3,$AV$3:$AW$9,2,1)</f>
        <v>31-50</v>
      </c>
      <c r="T3" s="49">
        <f t="shared" ref="T3:T66" si="6">VLOOKUP(S3,$AW$3:$AX$9,2,0)</f>
        <v>5073.1976040297868</v>
      </c>
      <c r="U3" s="50">
        <v>39</v>
      </c>
      <c r="V3" s="50" t="str">
        <f>VLOOKUP(U3,$AV$4:$AW$9,2,1)</f>
        <v>31-50</v>
      </c>
      <c r="W3" s="50">
        <f t="shared" ref="W3:W66" si="7">VLOOKUP(V3,$AW$3:$AX$9,2,0)</f>
        <v>5073.1976040297868</v>
      </c>
      <c r="X3" s="143">
        <v>0</v>
      </c>
      <c r="Y3" s="143" t="str">
        <f>VLOOKUP(X3,$AV$4:$AW$9,2,1)</f>
        <v>0-20</v>
      </c>
      <c r="Z3" s="143">
        <f>VLOOKUP(Y3,$AW$3:$AX$9,2,0)</f>
        <v>3844.3574443810608</v>
      </c>
      <c r="AA3" s="115">
        <v>54</v>
      </c>
      <c r="AB3" s="114" t="str">
        <f t="shared" ref="AB3:AB67" si="8">VLOOKUP(AA3,$AV$4:$AW$9,2,1)</f>
        <v>51-80</v>
      </c>
      <c r="AC3" s="114">
        <f t="shared" ref="AC3:AC67" si="9">VLOOKUP(AB3,$AW$3:$AX$9,2,0)</f>
        <v>6509</v>
      </c>
      <c r="AD3" s="129"/>
      <c r="AE3" s="129" t="str">
        <f t="shared" ref="AE3" si="10">VLOOKUP(AD3,$AV$4:$AW$9,2,1)</f>
        <v>0-20</v>
      </c>
      <c r="AF3" s="129">
        <f t="shared" ref="AF3" si="11">VLOOKUP(AE3,$AW$3:$AX$9,2,0)</f>
        <v>3844.3574443810608</v>
      </c>
      <c r="AG3" s="138">
        <v>80</v>
      </c>
      <c r="AH3" s="138" t="str">
        <f t="shared" ref="AH3" si="12">VLOOKUP(AG3,$AV$4:$AW$9,2,1)</f>
        <v>51-80</v>
      </c>
      <c r="AI3" s="138">
        <f t="shared" ref="AI3" si="13">VLOOKUP(AH3,$AW$3:$AX$9,2,0)</f>
        <v>6509</v>
      </c>
      <c r="AJ3" s="36">
        <v>46</v>
      </c>
      <c r="AK3" s="36" t="str">
        <f t="shared" ref="AK3:AK20" si="14">VLOOKUP(AJ3,$AV$3:$AW$9,2,1)</f>
        <v>31-50</v>
      </c>
      <c r="AL3" s="37">
        <f t="shared" ref="AL3:AL20" si="15">VLOOKUP(AK3,$AW$3:$AX$9,2,0)</f>
        <v>5073.1976040297868</v>
      </c>
      <c r="AM3" s="37">
        <v>66</v>
      </c>
      <c r="AN3" s="3" t="str">
        <f t="shared" ref="AN3:AN35" si="16">VLOOKUP(AM3,$AV$4:$AW$9,2,1)</f>
        <v>51-80</v>
      </c>
      <c r="AO3" s="119">
        <f t="shared" ref="AO3:AO35" si="17">VLOOKUP(AN3,$AW$3:$AX$9,2,0)</f>
        <v>6509</v>
      </c>
      <c r="AP3" s="133">
        <v>64</v>
      </c>
      <c r="AQ3" s="133" t="str">
        <f t="shared" ref="AQ3:AQ67" si="18">VLOOKUP(AP3,$AV$4:$AW$9,2,1)</f>
        <v>51-80</v>
      </c>
      <c r="AR3" s="133">
        <f t="shared" ref="AR3:AR67" si="19">VLOOKUP(AQ3,$AW$3:$AX$9,2,0)</f>
        <v>6509</v>
      </c>
      <c r="AS3" s="131"/>
      <c r="AT3" s="131"/>
      <c r="AV3" s="31"/>
      <c r="AW3" s="31"/>
      <c r="AX3" s="31"/>
      <c r="BA3" s="141" t="s">
        <v>20</v>
      </c>
      <c r="BB3" s="141">
        <v>3844</v>
      </c>
    </row>
    <row r="4" spans="1:54" x14ac:dyDescent="0.25">
      <c r="A4" s="32">
        <v>2</v>
      </c>
      <c r="B4" s="13" t="s">
        <v>21</v>
      </c>
      <c r="C4" s="11" t="s">
        <v>30</v>
      </c>
      <c r="D4" s="10">
        <v>0</v>
      </c>
      <c r="E4" s="11" t="s">
        <v>31</v>
      </c>
      <c r="F4" s="34" t="s">
        <v>32</v>
      </c>
      <c r="G4" s="6" t="s">
        <v>33</v>
      </c>
      <c r="H4" s="33">
        <v>401101</v>
      </c>
      <c r="I4" s="90">
        <v>126</v>
      </c>
      <c r="J4" s="90" t="str">
        <f t="shared" si="0"/>
        <v>110-130</v>
      </c>
      <c r="K4" s="91">
        <f t="shared" si="1"/>
        <v>10159.810450732197</v>
      </c>
      <c r="L4" s="35">
        <v>27</v>
      </c>
      <c r="M4" s="35" t="str">
        <f t="shared" si="2"/>
        <v>21-30</v>
      </c>
      <c r="N4" s="36">
        <f t="shared" si="3"/>
        <v>4508.6394748902885</v>
      </c>
      <c r="O4" s="51">
        <v>34</v>
      </c>
      <c r="P4" s="51" t="str">
        <f t="shared" ref="P4:P67" si="20">VLOOKUP(O4,$AV$3:$AW$9,2,1)</f>
        <v>31-50</v>
      </c>
      <c r="Q4" s="51">
        <f t="shared" si="4"/>
        <v>5073.1976040297868</v>
      </c>
      <c r="R4" s="49">
        <v>25</v>
      </c>
      <c r="S4" s="49" t="str">
        <f t="shared" si="5"/>
        <v>21-30</v>
      </c>
      <c r="T4" s="49">
        <f t="shared" si="6"/>
        <v>4508.6394748902885</v>
      </c>
      <c r="U4" s="50">
        <v>31</v>
      </c>
      <c r="V4" s="50" t="str">
        <f t="shared" ref="V4:V67" si="21">VLOOKUP(U4,$AV$3:$AW$9,2,1)</f>
        <v>31-50</v>
      </c>
      <c r="W4" s="50">
        <f t="shared" si="7"/>
        <v>5073.1976040297868</v>
      </c>
      <c r="X4" s="143">
        <v>0</v>
      </c>
      <c r="Y4" s="143" t="str">
        <f t="shared" ref="Y4:Y67" si="22">VLOOKUP(X4,$AV$4:$AW$9,2,1)</f>
        <v>0-20</v>
      </c>
      <c r="Z4" s="143">
        <f t="shared" ref="Z4:Z67" si="23">VLOOKUP(Y4,$AW$3:$AX$9,2,0)</f>
        <v>3844.3574443810608</v>
      </c>
      <c r="AA4" s="116"/>
      <c r="AB4" s="114" t="str">
        <f t="shared" si="8"/>
        <v>0-20</v>
      </c>
      <c r="AC4" s="114">
        <f t="shared" si="9"/>
        <v>3844.3574443810608</v>
      </c>
      <c r="AD4" s="129"/>
      <c r="AE4" s="129" t="str">
        <f t="shared" ref="AE4:AE31" si="24">VLOOKUP(AD4,$AV$4:$AW$9,2,1)</f>
        <v>0-20</v>
      </c>
      <c r="AF4" s="129">
        <f t="shared" ref="AF4:AF31" si="25">VLOOKUP(AE4,$AW$3:$AX$9,2,0)</f>
        <v>3844.3574443810608</v>
      </c>
      <c r="AG4" s="138">
        <v>78</v>
      </c>
      <c r="AH4" s="138" t="str">
        <f t="shared" ref="AH4:AH33" si="26">VLOOKUP(AG4,$AV$4:$AW$9,2,1)</f>
        <v>51-80</v>
      </c>
      <c r="AI4" s="138">
        <f t="shared" ref="AI4:AI33" si="27">VLOOKUP(AH4,$AW$3:$AX$9,2,0)</f>
        <v>6509</v>
      </c>
      <c r="AJ4" s="36">
        <v>44</v>
      </c>
      <c r="AK4" s="36" t="str">
        <f t="shared" si="14"/>
        <v>31-50</v>
      </c>
      <c r="AL4" s="37">
        <f t="shared" si="15"/>
        <v>5073.1976040297868</v>
      </c>
      <c r="AM4" s="37">
        <v>89</v>
      </c>
      <c r="AN4" s="3" t="str">
        <f t="shared" si="16"/>
        <v>81-110</v>
      </c>
      <c r="AO4" s="119">
        <f t="shared" si="17"/>
        <v>8747.8561594387575</v>
      </c>
      <c r="AP4" s="133">
        <v>29</v>
      </c>
      <c r="AQ4" s="133" t="str">
        <f t="shared" si="18"/>
        <v>21-30</v>
      </c>
      <c r="AR4" s="133">
        <f t="shared" si="19"/>
        <v>4508.6394748902885</v>
      </c>
      <c r="AS4" s="131"/>
      <c r="AT4" s="131"/>
      <c r="AV4" s="38">
        <v>0</v>
      </c>
      <c r="AW4" s="39" t="s">
        <v>20</v>
      </c>
      <c r="AX4" s="52">
        <v>3844.3574443810608</v>
      </c>
    </row>
    <row r="5" spans="1:54" x14ac:dyDescent="0.25">
      <c r="A5" s="32">
        <v>3</v>
      </c>
      <c r="B5" s="13" t="s">
        <v>21</v>
      </c>
      <c r="C5" s="11" t="s">
        <v>65</v>
      </c>
      <c r="D5" s="10" t="s">
        <v>903</v>
      </c>
      <c r="E5" s="11" t="s">
        <v>66</v>
      </c>
      <c r="F5" s="34" t="s">
        <v>67</v>
      </c>
      <c r="G5" s="6" t="s">
        <v>551</v>
      </c>
      <c r="H5" s="33">
        <v>402107</v>
      </c>
      <c r="I5" s="90">
        <v>62</v>
      </c>
      <c r="J5" s="90" t="str">
        <f t="shared" si="0"/>
        <v>51-80</v>
      </c>
      <c r="K5" s="91">
        <f t="shared" si="1"/>
        <v>6509</v>
      </c>
      <c r="L5" s="35">
        <v>74</v>
      </c>
      <c r="M5" s="35" t="str">
        <f t="shared" si="2"/>
        <v>51-80</v>
      </c>
      <c r="N5" s="36">
        <f t="shared" si="3"/>
        <v>6509</v>
      </c>
      <c r="O5" s="51">
        <v>98</v>
      </c>
      <c r="P5" s="51" t="str">
        <f t="shared" si="20"/>
        <v>81-110</v>
      </c>
      <c r="Q5" s="51">
        <f t="shared" si="4"/>
        <v>8747.8561594387575</v>
      </c>
      <c r="R5" s="49">
        <v>77</v>
      </c>
      <c r="S5" s="49" t="str">
        <f t="shared" si="5"/>
        <v>51-80</v>
      </c>
      <c r="T5" s="49">
        <f t="shared" si="6"/>
        <v>6509</v>
      </c>
      <c r="U5" s="50">
        <v>69</v>
      </c>
      <c r="V5" s="50" t="str">
        <f t="shared" si="21"/>
        <v>51-80</v>
      </c>
      <c r="W5" s="50">
        <f t="shared" si="7"/>
        <v>6509</v>
      </c>
      <c r="X5" s="143">
        <v>0</v>
      </c>
      <c r="Y5" s="143" t="str">
        <f t="shared" si="22"/>
        <v>0-20</v>
      </c>
      <c r="Z5" s="143">
        <f t="shared" si="23"/>
        <v>3844.3574443810608</v>
      </c>
      <c r="AA5" s="116"/>
      <c r="AB5" s="114" t="str">
        <f t="shared" si="8"/>
        <v>0-20</v>
      </c>
      <c r="AC5" s="114">
        <f t="shared" si="9"/>
        <v>3844.3574443810608</v>
      </c>
      <c r="AD5" s="129"/>
      <c r="AE5" s="129" t="str">
        <f t="shared" si="24"/>
        <v>0-20</v>
      </c>
      <c r="AF5" s="129">
        <f t="shared" si="25"/>
        <v>3844.3574443810608</v>
      </c>
      <c r="AG5" s="138">
        <v>153</v>
      </c>
      <c r="AH5" s="138" t="str">
        <f t="shared" si="26"/>
        <v>110-130</v>
      </c>
      <c r="AI5" s="138">
        <f t="shared" si="27"/>
        <v>10159.810450732197</v>
      </c>
      <c r="AJ5" s="36">
        <v>68</v>
      </c>
      <c r="AK5" s="36" t="str">
        <f t="shared" si="14"/>
        <v>51-80</v>
      </c>
      <c r="AL5" s="37">
        <f t="shared" si="15"/>
        <v>6509</v>
      </c>
      <c r="AM5" s="37">
        <v>28</v>
      </c>
      <c r="AN5" s="3" t="str">
        <f t="shared" si="16"/>
        <v>21-30</v>
      </c>
      <c r="AO5" s="119">
        <f t="shared" si="17"/>
        <v>4508.6394748902885</v>
      </c>
      <c r="AP5" s="133">
        <v>136</v>
      </c>
      <c r="AQ5" s="133" t="str">
        <f t="shared" si="18"/>
        <v>110-130</v>
      </c>
      <c r="AR5" s="133">
        <f t="shared" si="19"/>
        <v>10159.810450732197</v>
      </c>
      <c r="AS5" s="131"/>
      <c r="AT5" s="131"/>
      <c r="AU5" s="41"/>
      <c r="AV5" s="40">
        <v>21</v>
      </c>
      <c r="AW5" s="40" t="s">
        <v>25</v>
      </c>
      <c r="AX5" s="52">
        <v>4508.6394748902885</v>
      </c>
    </row>
    <row r="6" spans="1:54" x14ac:dyDescent="0.25">
      <c r="A6" s="32">
        <v>4</v>
      </c>
      <c r="B6" s="13" t="s">
        <v>21</v>
      </c>
      <c r="C6" s="11" t="s">
        <v>35</v>
      </c>
      <c r="D6" s="10" t="s">
        <v>904</v>
      </c>
      <c r="E6" s="11" t="s">
        <v>36</v>
      </c>
      <c r="F6" s="34" t="s">
        <v>1269</v>
      </c>
      <c r="G6" s="6" t="s">
        <v>37</v>
      </c>
      <c r="H6" s="33">
        <v>401102</v>
      </c>
      <c r="I6" s="90">
        <v>185</v>
      </c>
      <c r="J6" s="90" t="str">
        <f t="shared" si="0"/>
        <v>110-130</v>
      </c>
      <c r="K6" s="91">
        <f t="shared" si="1"/>
        <v>10159.810450732197</v>
      </c>
      <c r="L6" s="35">
        <v>80</v>
      </c>
      <c r="M6" s="35" t="str">
        <f t="shared" si="2"/>
        <v>51-80</v>
      </c>
      <c r="N6" s="36">
        <f t="shared" si="3"/>
        <v>6509</v>
      </c>
      <c r="O6" s="51">
        <v>49</v>
      </c>
      <c r="P6" s="51" t="str">
        <f t="shared" si="20"/>
        <v>31-50</v>
      </c>
      <c r="Q6" s="51">
        <f t="shared" si="4"/>
        <v>5073.1976040297868</v>
      </c>
      <c r="R6" s="49">
        <v>83</v>
      </c>
      <c r="S6" s="49" t="str">
        <f t="shared" si="5"/>
        <v>81-110</v>
      </c>
      <c r="T6" s="49">
        <f t="shared" si="6"/>
        <v>8747.8561594387575</v>
      </c>
      <c r="U6" s="50">
        <v>92</v>
      </c>
      <c r="V6" s="50" t="str">
        <f t="shared" si="21"/>
        <v>81-110</v>
      </c>
      <c r="W6" s="50">
        <f t="shared" si="7"/>
        <v>8747.8561594387575</v>
      </c>
      <c r="X6" s="143">
        <v>74</v>
      </c>
      <c r="Y6" s="143" t="str">
        <f t="shared" si="22"/>
        <v>51-80</v>
      </c>
      <c r="Z6" s="143">
        <f t="shared" si="23"/>
        <v>6509</v>
      </c>
      <c r="AA6" s="116"/>
      <c r="AB6" s="114" t="str">
        <f t="shared" si="8"/>
        <v>0-20</v>
      </c>
      <c r="AC6" s="114">
        <f t="shared" si="9"/>
        <v>3844.3574443810608</v>
      </c>
      <c r="AD6" s="129"/>
      <c r="AE6" s="129" t="str">
        <f t="shared" si="24"/>
        <v>0-20</v>
      </c>
      <c r="AF6" s="129">
        <f t="shared" si="25"/>
        <v>3844.3574443810608</v>
      </c>
      <c r="AG6" s="138">
        <v>42</v>
      </c>
      <c r="AH6" s="138" t="str">
        <f t="shared" si="26"/>
        <v>31-50</v>
      </c>
      <c r="AI6" s="138">
        <f t="shared" si="27"/>
        <v>5073.1976040297868</v>
      </c>
      <c r="AJ6" s="36">
        <v>103</v>
      </c>
      <c r="AK6" s="36" t="str">
        <f t="shared" si="14"/>
        <v>81-110</v>
      </c>
      <c r="AL6" s="37">
        <f t="shared" si="15"/>
        <v>8747.8561594387575</v>
      </c>
      <c r="AM6" s="37">
        <v>139</v>
      </c>
      <c r="AN6" s="3" t="str">
        <f t="shared" si="16"/>
        <v>110-130</v>
      </c>
      <c r="AO6" s="119">
        <f t="shared" si="17"/>
        <v>10159.810450732197</v>
      </c>
      <c r="AP6" s="133">
        <v>53</v>
      </c>
      <c r="AQ6" s="133" t="str">
        <f t="shared" si="18"/>
        <v>51-80</v>
      </c>
      <c r="AR6" s="133">
        <f t="shared" si="19"/>
        <v>6509</v>
      </c>
      <c r="AS6" s="131"/>
      <c r="AT6" s="131"/>
      <c r="AU6" s="41"/>
      <c r="AV6" s="40">
        <v>31</v>
      </c>
      <c r="AW6" s="40" t="s">
        <v>29</v>
      </c>
      <c r="AX6" s="52">
        <v>5073.1976040297868</v>
      </c>
      <c r="AY6" s="109"/>
    </row>
    <row r="7" spans="1:54" x14ac:dyDescent="0.25">
      <c r="A7" s="32">
        <v>5</v>
      </c>
      <c r="B7" s="13" t="s">
        <v>21</v>
      </c>
      <c r="C7" s="11" t="s">
        <v>77</v>
      </c>
      <c r="D7" s="10" t="s">
        <v>905</v>
      </c>
      <c r="E7" s="11" t="s">
        <v>78</v>
      </c>
      <c r="F7" s="34" t="s">
        <v>1270</v>
      </c>
      <c r="G7" s="6" t="s">
        <v>50</v>
      </c>
      <c r="H7" s="103">
        <v>401107</v>
      </c>
      <c r="I7" s="90">
        <v>127</v>
      </c>
      <c r="J7" s="90" t="str">
        <f t="shared" si="0"/>
        <v>110-130</v>
      </c>
      <c r="K7" s="91">
        <f t="shared" si="1"/>
        <v>10159.810450732197</v>
      </c>
      <c r="L7" s="35">
        <v>23</v>
      </c>
      <c r="M7" s="35" t="str">
        <f t="shared" si="2"/>
        <v>21-30</v>
      </c>
      <c r="N7" s="36">
        <f t="shared" si="3"/>
        <v>4508.6394748902885</v>
      </c>
      <c r="O7" s="51">
        <v>29</v>
      </c>
      <c r="P7" s="51" t="str">
        <f t="shared" si="20"/>
        <v>21-30</v>
      </c>
      <c r="Q7" s="51">
        <f t="shared" si="4"/>
        <v>4508.6394748902885</v>
      </c>
      <c r="R7" s="49">
        <v>23</v>
      </c>
      <c r="S7" s="49" t="str">
        <f t="shared" si="5"/>
        <v>21-30</v>
      </c>
      <c r="T7" s="49">
        <f t="shared" si="6"/>
        <v>4508.6394748902885</v>
      </c>
      <c r="U7" s="50">
        <v>32</v>
      </c>
      <c r="V7" s="50" t="str">
        <f t="shared" si="21"/>
        <v>31-50</v>
      </c>
      <c r="W7" s="50">
        <f t="shared" si="7"/>
        <v>5073.1976040297868</v>
      </c>
      <c r="X7" s="143">
        <v>50</v>
      </c>
      <c r="Y7" s="143" t="str">
        <f t="shared" si="22"/>
        <v>31-50</v>
      </c>
      <c r="Z7" s="143">
        <f t="shared" si="23"/>
        <v>5073.1976040297868</v>
      </c>
      <c r="AA7" s="116">
        <v>16</v>
      </c>
      <c r="AB7" s="114" t="str">
        <f t="shared" si="8"/>
        <v>0-20</v>
      </c>
      <c r="AC7" s="114">
        <f t="shared" si="9"/>
        <v>3844.3574443810608</v>
      </c>
      <c r="AD7" s="129"/>
      <c r="AE7" s="129" t="str">
        <f t="shared" si="24"/>
        <v>0-20</v>
      </c>
      <c r="AF7" s="129">
        <f t="shared" si="25"/>
        <v>3844.3574443810608</v>
      </c>
      <c r="AG7" s="138">
        <v>72</v>
      </c>
      <c r="AH7" s="138" t="str">
        <f t="shared" si="26"/>
        <v>51-80</v>
      </c>
      <c r="AI7" s="138">
        <f t="shared" si="27"/>
        <v>6509</v>
      </c>
      <c r="AJ7" s="36">
        <v>42</v>
      </c>
      <c r="AK7" s="36" t="str">
        <f t="shared" si="14"/>
        <v>31-50</v>
      </c>
      <c r="AL7" s="37">
        <f t="shared" si="15"/>
        <v>5073.1976040297868</v>
      </c>
      <c r="AM7" s="37">
        <v>88</v>
      </c>
      <c r="AN7" s="3" t="str">
        <f t="shared" si="16"/>
        <v>81-110</v>
      </c>
      <c r="AO7" s="119">
        <f t="shared" si="17"/>
        <v>8747.8561594387575</v>
      </c>
      <c r="AP7" s="133">
        <v>86</v>
      </c>
      <c r="AQ7" s="133" t="str">
        <f t="shared" si="18"/>
        <v>81-110</v>
      </c>
      <c r="AR7" s="133">
        <f t="shared" si="19"/>
        <v>8747.8561594387575</v>
      </c>
      <c r="AS7" s="131"/>
      <c r="AT7" s="131"/>
      <c r="AU7" s="41"/>
      <c r="AV7" s="40">
        <v>51</v>
      </c>
      <c r="AW7" s="40" t="s">
        <v>34</v>
      </c>
      <c r="AX7" s="52">
        <v>6509</v>
      </c>
      <c r="AY7" s="109"/>
    </row>
    <row r="8" spans="1:54" x14ac:dyDescent="0.25">
      <c r="A8" s="32">
        <v>6</v>
      </c>
      <c r="B8" s="13" t="s">
        <v>21</v>
      </c>
      <c r="C8" s="11" t="s">
        <v>39</v>
      </c>
      <c r="D8" s="10">
        <v>0</v>
      </c>
      <c r="E8" s="11" t="s">
        <v>40</v>
      </c>
      <c r="F8" s="34" t="s">
        <v>1271</v>
      </c>
      <c r="G8" s="6" t="s">
        <v>548</v>
      </c>
      <c r="H8" s="33">
        <v>400701</v>
      </c>
      <c r="I8" s="90">
        <v>97</v>
      </c>
      <c r="J8" s="90" t="str">
        <f t="shared" si="0"/>
        <v>81-110</v>
      </c>
      <c r="K8" s="91">
        <f t="shared" si="1"/>
        <v>8747.8561594387575</v>
      </c>
      <c r="L8" s="35">
        <v>13</v>
      </c>
      <c r="M8" s="35" t="str">
        <f t="shared" si="2"/>
        <v>0-20</v>
      </c>
      <c r="N8" s="36">
        <f t="shared" si="3"/>
        <v>3844.3574443810608</v>
      </c>
      <c r="O8" s="51">
        <v>53</v>
      </c>
      <c r="P8" s="51" t="str">
        <f t="shared" si="20"/>
        <v>51-80</v>
      </c>
      <c r="Q8" s="51">
        <f t="shared" si="4"/>
        <v>6509</v>
      </c>
      <c r="R8" s="49">
        <v>24</v>
      </c>
      <c r="S8" s="49" t="str">
        <f t="shared" si="5"/>
        <v>21-30</v>
      </c>
      <c r="T8" s="49">
        <f t="shared" si="6"/>
        <v>4508.6394748902885</v>
      </c>
      <c r="U8" s="50">
        <v>19</v>
      </c>
      <c r="V8" s="50" t="str">
        <f t="shared" si="21"/>
        <v>0-20</v>
      </c>
      <c r="W8" s="50">
        <f t="shared" si="7"/>
        <v>3844.3574443810608</v>
      </c>
      <c r="X8" s="143">
        <v>0</v>
      </c>
      <c r="Y8" s="143" t="str">
        <f t="shared" si="22"/>
        <v>0-20</v>
      </c>
      <c r="Z8" s="143">
        <f t="shared" si="23"/>
        <v>3844.3574443810608</v>
      </c>
      <c r="AA8" s="116"/>
      <c r="AB8" s="114" t="str">
        <f t="shared" si="8"/>
        <v>0-20</v>
      </c>
      <c r="AC8" s="114">
        <f t="shared" si="9"/>
        <v>3844.3574443810608</v>
      </c>
      <c r="AD8" s="129"/>
      <c r="AE8" s="129" t="str">
        <f t="shared" si="24"/>
        <v>0-20</v>
      </c>
      <c r="AF8" s="129">
        <f t="shared" si="25"/>
        <v>3844.3574443810608</v>
      </c>
      <c r="AG8" s="138">
        <v>96</v>
      </c>
      <c r="AH8" s="138" t="str">
        <f t="shared" si="26"/>
        <v>81-110</v>
      </c>
      <c r="AI8" s="138">
        <f t="shared" si="27"/>
        <v>8747.8561594387575</v>
      </c>
      <c r="AJ8" s="36">
        <v>24</v>
      </c>
      <c r="AK8" s="36" t="str">
        <f t="shared" si="14"/>
        <v>21-30</v>
      </c>
      <c r="AL8" s="37">
        <f t="shared" si="15"/>
        <v>4508.6394748902885</v>
      </c>
      <c r="AM8" s="37">
        <v>55</v>
      </c>
      <c r="AN8" s="3" t="str">
        <f t="shared" si="16"/>
        <v>51-80</v>
      </c>
      <c r="AO8" s="119">
        <f t="shared" si="17"/>
        <v>6509</v>
      </c>
      <c r="AP8" s="133"/>
      <c r="AQ8" s="133" t="str">
        <f t="shared" si="18"/>
        <v>0-20</v>
      </c>
      <c r="AR8" s="133">
        <f t="shared" si="19"/>
        <v>3844.3574443810608</v>
      </c>
      <c r="AS8" s="131"/>
      <c r="AT8" s="131"/>
      <c r="AU8" s="41"/>
      <c r="AV8" s="40">
        <v>81</v>
      </c>
      <c r="AW8" s="40" t="s">
        <v>38</v>
      </c>
      <c r="AX8" s="52">
        <v>8747.8561594387575</v>
      </c>
    </row>
    <row r="9" spans="1:54" x14ac:dyDescent="0.25">
      <c r="A9" s="32">
        <v>7</v>
      </c>
      <c r="B9" s="13" t="s">
        <v>21</v>
      </c>
      <c r="C9" s="11" t="s">
        <v>43</v>
      </c>
      <c r="D9" s="10" t="s">
        <v>906</v>
      </c>
      <c r="E9" s="11" t="s">
        <v>44</v>
      </c>
      <c r="F9" s="34" t="s">
        <v>45</v>
      </c>
      <c r="G9" s="6" t="s">
        <v>549</v>
      </c>
      <c r="H9" s="104">
        <v>421302</v>
      </c>
      <c r="I9" s="90">
        <v>108</v>
      </c>
      <c r="J9" s="90" t="str">
        <f t="shared" si="0"/>
        <v>81-110</v>
      </c>
      <c r="K9" s="91">
        <f t="shared" si="1"/>
        <v>8747.8561594387575</v>
      </c>
      <c r="L9" s="35">
        <v>26</v>
      </c>
      <c r="M9" s="35" t="str">
        <f t="shared" si="2"/>
        <v>21-30</v>
      </c>
      <c r="N9" s="36">
        <f t="shared" si="3"/>
        <v>4508.6394748902885</v>
      </c>
      <c r="O9" s="51">
        <v>48</v>
      </c>
      <c r="P9" s="51" t="str">
        <f t="shared" si="20"/>
        <v>31-50</v>
      </c>
      <c r="Q9" s="51">
        <f t="shared" si="4"/>
        <v>5073.1976040297868</v>
      </c>
      <c r="R9" s="49">
        <v>45</v>
      </c>
      <c r="S9" s="49" t="str">
        <f t="shared" si="5"/>
        <v>31-50</v>
      </c>
      <c r="T9" s="49">
        <f t="shared" si="6"/>
        <v>5073.1976040297868</v>
      </c>
      <c r="U9" s="50">
        <v>39</v>
      </c>
      <c r="V9" s="50" t="str">
        <f t="shared" si="21"/>
        <v>31-50</v>
      </c>
      <c r="W9" s="50">
        <f t="shared" si="7"/>
        <v>5073.1976040297868</v>
      </c>
      <c r="X9" s="143">
        <v>0</v>
      </c>
      <c r="Y9" s="143" t="str">
        <f t="shared" si="22"/>
        <v>0-20</v>
      </c>
      <c r="Z9" s="143">
        <f t="shared" si="23"/>
        <v>3844.3574443810608</v>
      </c>
      <c r="AA9" s="116"/>
      <c r="AB9" s="114" t="str">
        <f t="shared" si="8"/>
        <v>0-20</v>
      </c>
      <c r="AC9" s="114">
        <f t="shared" si="9"/>
        <v>3844.3574443810608</v>
      </c>
      <c r="AD9" s="129"/>
      <c r="AE9" s="129" t="str">
        <f t="shared" si="24"/>
        <v>0-20</v>
      </c>
      <c r="AF9" s="129">
        <f t="shared" si="25"/>
        <v>3844.3574443810608</v>
      </c>
      <c r="AG9" s="138">
        <v>75</v>
      </c>
      <c r="AH9" s="138" t="str">
        <f t="shared" si="26"/>
        <v>51-80</v>
      </c>
      <c r="AI9" s="138">
        <f t="shared" si="27"/>
        <v>6509</v>
      </c>
      <c r="AJ9" s="36">
        <v>46</v>
      </c>
      <c r="AK9" s="36" t="str">
        <f t="shared" si="14"/>
        <v>31-50</v>
      </c>
      <c r="AL9" s="37">
        <f t="shared" si="15"/>
        <v>5073.1976040297868</v>
      </c>
      <c r="AM9" s="37">
        <v>79</v>
      </c>
      <c r="AN9" s="3" t="str">
        <f t="shared" si="16"/>
        <v>51-80</v>
      </c>
      <c r="AO9" s="119">
        <f t="shared" si="17"/>
        <v>6509</v>
      </c>
      <c r="AP9" s="133">
        <v>65</v>
      </c>
      <c r="AQ9" s="133" t="str">
        <f t="shared" si="18"/>
        <v>51-80</v>
      </c>
      <c r="AR9" s="133">
        <f t="shared" si="19"/>
        <v>6509</v>
      </c>
      <c r="AS9" s="131"/>
      <c r="AT9" s="131"/>
      <c r="AU9" s="41"/>
      <c r="AV9" s="40">
        <v>110</v>
      </c>
      <c r="AW9" s="40" t="s">
        <v>42</v>
      </c>
      <c r="AX9" s="52">
        <v>10159.810450732197</v>
      </c>
    </row>
    <row r="10" spans="1:54" x14ac:dyDescent="0.25">
      <c r="A10" s="32">
        <v>8</v>
      </c>
      <c r="B10" s="13" t="s">
        <v>21</v>
      </c>
      <c r="C10" s="11" t="s">
        <v>51</v>
      </c>
      <c r="D10" s="10" t="s">
        <v>907</v>
      </c>
      <c r="E10" s="11" t="s">
        <v>52</v>
      </c>
      <c r="F10" s="34" t="s">
        <v>1272</v>
      </c>
      <c r="G10" s="6" t="s">
        <v>550</v>
      </c>
      <c r="H10" s="103">
        <v>401107</v>
      </c>
      <c r="I10" s="90">
        <v>127</v>
      </c>
      <c r="J10" s="90" t="str">
        <f t="shared" si="0"/>
        <v>110-130</v>
      </c>
      <c r="K10" s="91">
        <f t="shared" si="1"/>
        <v>10159.810450732197</v>
      </c>
      <c r="L10" s="99">
        <v>26</v>
      </c>
      <c r="M10" s="99" t="str">
        <f t="shared" si="2"/>
        <v>21-30</v>
      </c>
      <c r="N10" s="100">
        <f t="shared" si="3"/>
        <v>4508.6394748902885</v>
      </c>
      <c r="O10" s="51">
        <v>31</v>
      </c>
      <c r="P10" s="51" t="str">
        <f t="shared" si="20"/>
        <v>31-50</v>
      </c>
      <c r="Q10" s="51">
        <f t="shared" si="4"/>
        <v>5073.1976040297868</v>
      </c>
      <c r="R10" s="49">
        <v>24</v>
      </c>
      <c r="S10" s="49" t="str">
        <f t="shared" si="5"/>
        <v>21-30</v>
      </c>
      <c r="T10" s="49">
        <f t="shared" si="6"/>
        <v>4508.6394748902885</v>
      </c>
      <c r="U10" s="50">
        <v>34</v>
      </c>
      <c r="V10" s="50" t="str">
        <f t="shared" si="21"/>
        <v>31-50</v>
      </c>
      <c r="W10" s="50">
        <f t="shared" si="7"/>
        <v>5073.1976040297868</v>
      </c>
      <c r="X10" s="143">
        <v>0</v>
      </c>
      <c r="Y10" s="143" t="str">
        <f t="shared" si="22"/>
        <v>0-20</v>
      </c>
      <c r="Z10" s="143">
        <f t="shared" si="23"/>
        <v>3844.3574443810608</v>
      </c>
      <c r="AA10" s="116">
        <v>19</v>
      </c>
      <c r="AB10" s="114" t="str">
        <f t="shared" si="8"/>
        <v>0-20</v>
      </c>
      <c r="AC10" s="114">
        <f t="shared" si="9"/>
        <v>3844.3574443810608</v>
      </c>
      <c r="AD10" s="129"/>
      <c r="AE10" s="129" t="str">
        <f t="shared" si="24"/>
        <v>0-20</v>
      </c>
      <c r="AF10" s="129">
        <f t="shared" si="25"/>
        <v>3844.3574443810608</v>
      </c>
      <c r="AG10" s="138">
        <v>72</v>
      </c>
      <c r="AH10" s="138" t="str">
        <f t="shared" si="26"/>
        <v>51-80</v>
      </c>
      <c r="AI10" s="138">
        <f t="shared" si="27"/>
        <v>6509</v>
      </c>
      <c r="AJ10" s="36">
        <v>40</v>
      </c>
      <c r="AK10" s="36" t="str">
        <f t="shared" si="14"/>
        <v>31-50</v>
      </c>
      <c r="AL10" s="37">
        <f t="shared" si="15"/>
        <v>5073.1976040297868</v>
      </c>
      <c r="AM10" s="37">
        <v>87</v>
      </c>
      <c r="AN10" s="3" t="str">
        <f t="shared" si="16"/>
        <v>81-110</v>
      </c>
      <c r="AO10" s="119">
        <f t="shared" si="17"/>
        <v>8747.8561594387575</v>
      </c>
      <c r="AP10" s="133">
        <v>85</v>
      </c>
      <c r="AQ10" s="133" t="str">
        <f t="shared" si="18"/>
        <v>81-110</v>
      </c>
      <c r="AR10" s="133">
        <f t="shared" si="19"/>
        <v>8747.8561594387575</v>
      </c>
      <c r="AS10" s="131"/>
      <c r="AT10" s="131"/>
      <c r="AU10" s="41"/>
      <c r="AV10" s="34"/>
      <c r="AW10" s="34"/>
      <c r="AX10" s="42"/>
    </row>
    <row r="11" spans="1:54" ht="16.5" x14ac:dyDescent="0.3">
      <c r="A11" s="32">
        <v>9</v>
      </c>
      <c r="B11" s="13" t="s">
        <v>21</v>
      </c>
      <c r="C11" s="11" t="s">
        <v>47</v>
      </c>
      <c r="D11" s="10" t="s">
        <v>908</v>
      </c>
      <c r="E11" s="11" t="s">
        <v>48</v>
      </c>
      <c r="F11" s="34" t="s">
        <v>49</v>
      </c>
      <c r="G11" s="6" t="s">
        <v>550</v>
      </c>
      <c r="H11" s="33">
        <v>401107</v>
      </c>
      <c r="I11" s="90">
        <v>127</v>
      </c>
      <c r="J11" s="90" t="str">
        <f t="shared" si="0"/>
        <v>110-130</v>
      </c>
      <c r="K11" s="91">
        <f t="shared" si="1"/>
        <v>10159.810450732197</v>
      </c>
      <c r="L11" s="35">
        <v>23</v>
      </c>
      <c r="M11" s="35" t="str">
        <f t="shared" si="2"/>
        <v>21-30</v>
      </c>
      <c r="N11" s="36">
        <f t="shared" si="3"/>
        <v>4508.6394748902885</v>
      </c>
      <c r="O11" s="51">
        <v>31</v>
      </c>
      <c r="P11" s="51" t="str">
        <f t="shared" si="20"/>
        <v>31-50</v>
      </c>
      <c r="Q11" s="51">
        <f t="shared" si="4"/>
        <v>5073.1976040297868</v>
      </c>
      <c r="R11" s="49">
        <v>24</v>
      </c>
      <c r="S11" s="49" t="str">
        <f t="shared" si="5"/>
        <v>21-30</v>
      </c>
      <c r="T11" s="49">
        <f t="shared" si="6"/>
        <v>4508.6394748902885</v>
      </c>
      <c r="U11" s="50">
        <v>34</v>
      </c>
      <c r="V11" s="50" t="str">
        <f t="shared" si="21"/>
        <v>31-50</v>
      </c>
      <c r="W11" s="50">
        <f t="shared" si="7"/>
        <v>5073.1976040297868</v>
      </c>
      <c r="X11" s="143">
        <v>0</v>
      </c>
      <c r="Y11" s="143" t="str">
        <f t="shared" si="22"/>
        <v>0-20</v>
      </c>
      <c r="Z11" s="143">
        <f t="shared" si="23"/>
        <v>3844.3574443810608</v>
      </c>
      <c r="AA11" s="116"/>
      <c r="AB11" s="114" t="str">
        <f t="shared" si="8"/>
        <v>0-20</v>
      </c>
      <c r="AC11" s="114">
        <f t="shared" si="9"/>
        <v>3844.3574443810608</v>
      </c>
      <c r="AD11" s="129"/>
      <c r="AE11" s="129" t="str">
        <f t="shared" si="24"/>
        <v>0-20</v>
      </c>
      <c r="AF11" s="129">
        <f t="shared" si="25"/>
        <v>3844.3574443810608</v>
      </c>
      <c r="AG11" s="138">
        <v>72</v>
      </c>
      <c r="AH11" s="138" t="str">
        <f t="shared" si="26"/>
        <v>51-80</v>
      </c>
      <c r="AI11" s="138">
        <f t="shared" si="27"/>
        <v>6509</v>
      </c>
      <c r="AJ11" s="36">
        <v>40</v>
      </c>
      <c r="AK11" s="36" t="str">
        <f t="shared" si="14"/>
        <v>31-50</v>
      </c>
      <c r="AL11" s="37">
        <f t="shared" si="15"/>
        <v>5073.1976040297868</v>
      </c>
      <c r="AM11" s="37">
        <v>87</v>
      </c>
      <c r="AN11" s="3" t="str">
        <f t="shared" si="16"/>
        <v>81-110</v>
      </c>
      <c r="AO11" s="119">
        <f t="shared" si="17"/>
        <v>8747.8561594387575</v>
      </c>
      <c r="AP11" s="133">
        <v>85</v>
      </c>
      <c r="AQ11" s="133" t="str">
        <f t="shared" si="18"/>
        <v>81-110</v>
      </c>
      <c r="AR11" s="133">
        <f t="shared" si="19"/>
        <v>8747.8561594387575</v>
      </c>
      <c r="AS11" s="131"/>
      <c r="AT11" s="131"/>
      <c r="AU11" s="41"/>
      <c r="AV11" s="41"/>
      <c r="AW11" s="41"/>
      <c r="AY11" s="43"/>
    </row>
    <row r="12" spans="1:54" ht="16.5" x14ac:dyDescent="0.3">
      <c r="A12" s="32">
        <v>10</v>
      </c>
      <c r="B12" s="13" t="s">
        <v>21</v>
      </c>
      <c r="C12" s="11" t="s">
        <v>53</v>
      </c>
      <c r="D12" s="10" t="s">
        <v>909</v>
      </c>
      <c r="E12" s="11" t="s">
        <v>54</v>
      </c>
      <c r="F12" s="34" t="s">
        <v>1273</v>
      </c>
      <c r="G12" s="6" t="s">
        <v>55</v>
      </c>
      <c r="H12" s="33">
        <v>401303</v>
      </c>
      <c r="I12" s="90">
        <v>147</v>
      </c>
      <c r="J12" s="90" t="str">
        <f t="shared" si="0"/>
        <v>110-130</v>
      </c>
      <c r="K12" s="91">
        <f t="shared" si="1"/>
        <v>10159.810450732197</v>
      </c>
      <c r="L12" s="35">
        <v>42</v>
      </c>
      <c r="M12" s="35" t="str">
        <f t="shared" si="2"/>
        <v>31-50</v>
      </c>
      <c r="N12" s="36">
        <f t="shared" si="3"/>
        <v>5073.1976040297868</v>
      </c>
      <c r="O12" s="51">
        <v>13</v>
      </c>
      <c r="P12" s="51" t="str">
        <f t="shared" si="20"/>
        <v>0-20</v>
      </c>
      <c r="Q12" s="51">
        <f t="shared" si="4"/>
        <v>3844.3574443810608</v>
      </c>
      <c r="R12" s="49">
        <v>58</v>
      </c>
      <c r="S12" s="49" t="str">
        <f t="shared" si="5"/>
        <v>51-80</v>
      </c>
      <c r="T12" s="49">
        <f t="shared" si="6"/>
        <v>6509</v>
      </c>
      <c r="U12" s="50">
        <v>62</v>
      </c>
      <c r="V12" s="50" t="str">
        <f t="shared" si="21"/>
        <v>51-80</v>
      </c>
      <c r="W12" s="50">
        <f t="shared" si="7"/>
        <v>6509</v>
      </c>
      <c r="X12" s="143">
        <v>0</v>
      </c>
      <c r="Y12" s="143" t="str">
        <f t="shared" si="22"/>
        <v>0-20</v>
      </c>
      <c r="Z12" s="143">
        <f t="shared" si="23"/>
        <v>3844.3574443810608</v>
      </c>
      <c r="AA12" s="116"/>
      <c r="AB12" s="114" t="str">
        <f t="shared" si="8"/>
        <v>0-20</v>
      </c>
      <c r="AC12" s="114">
        <f t="shared" si="9"/>
        <v>3844.3574443810608</v>
      </c>
      <c r="AD12" s="129"/>
      <c r="AE12" s="129" t="str">
        <f t="shared" si="24"/>
        <v>0-20</v>
      </c>
      <c r="AF12" s="129">
        <f t="shared" si="25"/>
        <v>3844.3574443810608</v>
      </c>
      <c r="AG12" s="138">
        <v>57</v>
      </c>
      <c r="AH12" s="138" t="str">
        <f t="shared" si="26"/>
        <v>51-80</v>
      </c>
      <c r="AI12" s="138">
        <f t="shared" si="27"/>
        <v>6509</v>
      </c>
      <c r="AJ12" s="36">
        <v>76</v>
      </c>
      <c r="AK12" s="36" t="str">
        <f t="shared" si="14"/>
        <v>51-80</v>
      </c>
      <c r="AL12" s="37">
        <f t="shared" si="15"/>
        <v>6509</v>
      </c>
      <c r="AM12" s="37">
        <v>111</v>
      </c>
      <c r="AN12" s="3" t="str">
        <f t="shared" si="16"/>
        <v>110-130</v>
      </c>
      <c r="AO12" s="119">
        <f t="shared" si="17"/>
        <v>10159.810450732197</v>
      </c>
      <c r="AP12" s="133">
        <v>68</v>
      </c>
      <c r="AQ12" s="133" t="str">
        <f t="shared" si="18"/>
        <v>51-80</v>
      </c>
      <c r="AR12" s="133">
        <f t="shared" si="19"/>
        <v>6509</v>
      </c>
      <c r="AS12" s="131"/>
      <c r="AT12" s="131"/>
      <c r="AU12" s="41"/>
      <c r="AV12" s="41"/>
      <c r="AW12" s="41"/>
      <c r="AY12" s="43"/>
    </row>
    <row r="13" spans="1:54" ht="16.5" x14ac:dyDescent="0.3">
      <c r="A13" s="32">
        <v>11</v>
      </c>
      <c r="B13" s="13" t="s">
        <v>21</v>
      </c>
      <c r="C13" s="11" t="s">
        <v>56</v>
      </c>
      <c r="D13" s="10" t="s">
        <v>910</v>
      </c>
      <c r="E13" s="11" t="s">
        <v>57</v>
      </c>
      <c r="F13" s="34" t="s">
        <v>58</v>
      </c>
      <c r="G13" s="6" t="s">
        <v>59</v>
      </c>
      <c r="H13" s="33">
        <v>421002</v>
      </c>
      <c r="I13" s="90">
        <v>102</v>
      </c>
      <c r="J13" s="90" t="str">
        <f t="shared" si="0"/>
        <v>81-110</v>
      </c>
      <c r="K13" s="91">
        <f t="shared" si="1"/>
        <v>8747.8561594387575</v>
      </c>
      <c r="L13" s="99">
        <v>29</v>
      </c>
      <c r="M13" s="99" t="str">
        <f t="shared" si="2"/>
        <v>21-30</v>
      </c>
      <c r="N13" s="100">
        <f t="shared" si="3"/>
        <v>4508.6394748902885</v>
      </c>
      <c r="O13" s="51">
        <v>63</v>
      </c>
      <c r="P13" s="51" t="str">
        <f t="shared" si="20"/>
        <v>51-80</v>
      </c>
      <c r="Q13" s="51">
        <f t="shared" si="4"/>
        <v>6509</v>
      </c>
      <c r="R13" s="49">
        <v>48</v>
      </c>
      <c r="S13" s="49" t="str">
        <f t="shared" si="5"/>
        <v>31-50</v>
      </c>
      <c r="T13" s="49">
        <f t="shared" si="6"/>
        <v>5073.1976040297868</v>
      </c>
      <c r="U13" s="50">
        <v>45</v>
      </c>
      <c r="V13" s="50" t="str">
        <f t="shared" si="21"/>
        <v>31-50</v>
      </c>
      <c r="W13" s="50">
        <f t="shared" si="7"/>
        <v>5073.1976040297868</v>
      </c>
      <c r="X13" s="143">
        <v>24</v>
      </c>
      <c r="Y13" s="143" t="str">
        <f t="shared" si="22"/>
        <v>21-30</v>
      </c>
      <c r="Z13" s="143">
        <f t="shared" si="23"/>
        <v>4508.6394748902885</v>
      </c>
      <c r="AA13" s="116"/>
      <c r="AB13" s="114" t="str">
        <f t="shared" si="8"/>
        <v>0-20</v>
      </c>
      <c r="AC13" s="114">
        <f t="shared" si="9"/>
        <v>3844.3574443810608</v>
      </c>
      <c r="AD13" s="129"/>
      <c r="AE13" s="129" t="str">
        <f t="shared" si="24"/>
        <v>0-20</v>
      </c>
      <c r="AF13" s="129">
        <f t="shared" si="25"/>
        <v>3844.3574443810608</v>
      </c>
      <c r="AG13" s="138">
        <v>79</v>
      </c>
      <c r="AH13" s="138" t="str">
        <f t="shared" si="26"/>
        <v>51-80</v>
      </c>
      <c r="AI13" s="138">
        <f t="shared" si="27"/>
        <v>6509</v>
      </c>
      <c r="AJ13" s="36">
        <v>46</v>
      </c>
      <c r="AK13" s="36" t="str">
        <f t="shared" si="14"/>
        <v>31-50</v>
      </c>
      <c r="AL13" s="37">
        <f t="shared" si="15"/>
        <v>5073.1976040297868</v>
      </c>
      <c r="AM13" s="37">
        <v>71</v>
      </c>
      <c r="AN13" s="3" t="str">
        <f t="shared" si="16"/>
        <v>51-80</v>
      </c>
      <c r="AO13" s="119">
        <f t="shared" si="17"/>
        <v>6509</v>
      </c>
      <c r="AP13" s="133">
        <v>68</v>
      </c>
      <c r="AQ13" s="133" t="str">
        <f t="shared" si="18"/>
        <v>51-80</v>
      </c>
      <c r="AR13" s="133">
        <f t="shared" si="19"/>
        <v>6509</v>
      </c>
      <c r="AS13" s="131"/>
      <c r="AT13" s="131"/>
      <c r="AU13" s="41"/>
      <c r="AV13" s="41"/>
      <c r="AW13" s="41"/>
      <c r="AY13" s="43"/>
    </row>
    <row r="14" spans="1:54" ht="16.5" x14ac:dyDescent="0.3">
      <c r="A14" s="32">
        <v>12</v>
      </c>
      <c r="B14" s="13" t="s">
        <v>21</v>
      </c>
      <c r="C14" s="11" t="s">
        <v>60</v>
      </c>
      <c r="D14" s="10">
        <v>0</v>
      </c>
      <c r="E14" s="11" t="s">
        <v>61</v>
      </c>
      <c r="F14" s="34" t="s">
        <v>62</v>
      </c>
      <c r="G14" s="6" t="s">
        <v>2</v>
      </c>
      <c r="H14" s="104">
        <v>421302</v>
      </c>
      <c r="I14" s="90">
        <v>126</v>
      </c>
      <c r="J14" s="90" t="str">
        <f t="shared" si="0"/>
        <v>110-130</v>
      </c>
      <c r="K14" s="91">
        <f t="shared" si="1"/>
        <v>10159.810450732197</v>
      </c>
      <c r="L14" s="35">
        <v>26</v>
      </c>
      <c r="M14" s="35" t="str">
        <f t="shared" si="2"/>
        <v>21-30</v>
      </c>
      <c r="N14" s="36">
        <f t="shared" si="3"/>
        <v>4508.6394748902885</v>
      </c>
      <c r="O14" s="51">
        <v>36</v>
      </c>
      <c r="P14" s="51" t="str">
        <f t="shared" si="20"/>
        <v>31-50</v>
      </c>
      <c r="Q14" s="51">
        <f t="shared" si="4"/>
        <v>5073.1976040297868</v>
      </c>
      <c r="R14" s="49">
        <v>45</v>
      </c>
      <c r="S14" s="49" t="str">
        <f t="shared" si="5"/>
        <v>31-50</v>
      </c>
      <c r="T14" s="49">
        <f t="shared" si="6"/>
        <v>5073.1976040297868</v>
      </c>
      <c r="U14" s="50">
        <v>43</v>
      </c>
      <c r="V14" s="50" t="str">
        <f t="shared" si="21"/>
        <v>31-50</v>
      </c>
      <c r="W14" s="50">
        <f t="shared" si="7"/>
        <v>5073.1976040297868</v>
      </c>
      <c r="X14" s="143">
        <v>0</v>
      </c>
      <c r="Y14" s="143" t="str">
        <f t="shared" si="22"/>
        <v>0-20</v>
      </c>
      <c r="Z14" s="143">
        <f t="shared" si="23"/>
        <v>3844.3574443810608</v>
      </c>
      <c r="AA14" s="116"/>
      <c r="AB14" s="114" t="str">
        <f t="shared" si="8"/>
        <v>0-20</v>
      </c>
      <c r="AC14" s="114">
        <f t="shared" si="9"/>
        <v>3844.3574443810608</v>
      </c>
      <c r="AD14" s="129"/>
      <c r="AE14" s="129" t="str">
        <f t="shared" si="24"/>
        <v>0-20</v>
      </c>
      <c r="AF14" s="129">
        <f t="shared" si="25"/>
        <v>3844.3574443810608</v>
      </c>
      <c r="AG14" s="138">
        <v>75</v>
      </c>
      <c r="AH14" s="138" t="str">
        <f t="shared" si="26"/>
        <v>51-80</v>
      </c>
      <c r="AI14" s="138">
        <f t="shared" si="27"/>
        <v>6509</v>
      </c>
      <c r="AJ14" s="36">
        <v>50</v>
      </c>
      <c r="AK14" s="36" t="str">
        <f t="shared" si="14"/>
        <v>31-50</v>
      </c>
      <c r="AL14" s="37">
        <f t="shared" si="15"/>
        <v>5073.1976040297868</v>
      </c>
      <c r="AM14" s="37">
        <v>78</v>
      </c>
      <c r="AN14" s="3" t="str">
        <f t="shared" si="16"/>
        <v>51-80</v>
      </c>
      <c r="AO14" s="119">
        <f t="shared" si="17"/>
        <v>6509</v>
      </c>
      <c r="AP14" s="133"/>
      <c r="AQ14" s="133" t="str">
        <f t="shared" si="18"/>
        <v>0-20</v>
      </c>
      <c r="AR14" s="133">
        <f t="shared" si="19"/>
        <v>3844.3574443810608</v>
      </c>
      <c r="AS14" s="131"/>
      <c r="AT14" s="131"/>
      <c r="AU14" s="41"/>
      <c r="AV14" s="41"/>
      <c r="AW14" s="41" t="s">
        <v>20</v>
      </c>
      <c r="AX14">
        <v>3844</v>
      </c>
      <c r="AY14" s="43"/>
    </row>
    <row r="15" spans="1:54" ht="16.5" x14ac:dyDescent="0.3">
      <c r="A15" s="32">
        <v>13</v>
      </c>
      <c r="B15" s="13" t="s">
        <v>21</v>
      </c>
      <c r="C15" s="11" t="s">
        <v>63</v>
      </c>
      <c r="D15" s="10" t="s">
        <v>911</v>
      </c>
      <c r="E15" s="11" t="s">
        <v>64</v>
      </c>
      <c r="F15" s="34" t="s">
        <v>566</v>
      </c>
      <c r="G15" s="6" t="s">
        <v>567</v>
      </c>
      <c r="H15" s="33">
        <v>410206</v>
      </c>
      <c r="I15" s="90">
        <v>84</v>
      </c>
      <c r="J15" s="90" t="str">
        <f t="shared" si="0"/>
        <v>81-110</v>
      </c>
      <c r="K15" s="91">
        <f t="shared" si="1"/>
        <v>8747.8561594387575</v>
      </c>
      <c r="L15" s="99">
        <v>48</v>
      </c>
      <c r="M15" s="99" t="str">
        <f t="shared" si="2"/>
        <v>31-50</v>
      </c>
      <c r="N15" s="100">
        <f t="shared" si="3"/>
        <v>5073.1976040297868</v>
      </c>
      <c r="O15" s="51">
        <v>77</v>
      </c>
      <c r="P15" s="51" t="str">
        <f t="shared" si="20"/>
        <v>51-80</v>
      </c>
      <c r="Q15" s="51">
        <f t="shared" si="4"/>
        <v>6509</v>
      </c>
      <c r="R15" s="49">
        <v>53</v>
      </c>
      <c r="S15" s="49" t="str">
        <f t="shared" si="5"/>
        <v>51-80</v>
      </c>
      <c r="T15" s="49">
        <f t="shared" si="6"/>
        <v>6509</v>
      </c>
      <c r="U15" s="50">
        <v>43</v>
      </c>
      <c r="V15" s="50" t="str">
        <f t="shared" si="21"/>
        <v>31-50</v>
      </c>
      <c r="W15" s="50">
        <f t="shared" si="7"/>
        <v>5073.1976040297868</v>
      </c>
      <c r="X15" s="143">
        <v>68</v>
      </c>
      <c r="Y15" s="143" t="str">
        <f t="shared" si="22"/>
        <v>51-80</v>
      </c>
      <c r="Z15" s="143">
        <f t="shared" si="23"/>
        <v>6509</v>
      </c>
      <c r="AA15" s="116"/>
      <c r="AB15" s="114" t="str">
        <f t="shared" si="8"/>
        <v>0-20</v>
      </c>
      <c r="AC15" s="114">
        <f t="shared" si="9"/>
        <v>3844.3574443810608</v>
      </c>
      <c r="AD15" s="129"/>
      <c r="AE15" s="129" t="str">
        <f t="shared" si="24"/>
        <v>0-20</v>
      </c>
      <c r="AF15" s="129">
        <f t="shared" si="25"/>
        <v>3844.3574443810608</v>
      </c>
      <c r="AG15" s="139">
        <v>106</v>
      </c>
      <c r="AH15" s="138" t="str">
        <f t="shared" si="26"/>
        <v>81-110</v>
      </c>
      <c r="AI15" s="138">
        <f t="shared" si="27"/>
        <v>8747.8561594387575</v>
      </c>
      <c r="AJ15" s="36">
        <v>42</v>
      </c>
      <c r="AK15" s="36" t="str">
        <f t="shared" si="14"/>
        <v>31-50</v>
      </c>
      <c r="AL15" s="37">
        <f t="shared" si="15"/>
        <v>5073.1976040297868</v>
      </c>
      <c r="AM15" s="80">
        <v>54</v>
      </c>
      <c r="AN15" s="81" t="str">
        <f t="shared" si="16"/>
        <v>51-80</v>
      </c>
      <c r="AO15" s="120">
        <f t="shared" si="17"/>
        <v>6509</v>
      </c>
      <c r="AP15" s="133">
        <v>118</v>
      </c>
      <c r="AQ15" s="133" t="str">
        <f t="shared" si="18"/>
        <v>110-130</v>
      </c>
      <c r="AR15" s="133">
        <f t="shared" si="19"/>
        <v>10159.810450732197</v>
      </c>
      <c r="AS15" s="131"/>
      <c r="AT15" s="131"/>
      <c r="AU15" s="41"/>
      <c r="AV15" s="41"/>
      <c r="AW15" s="41" t="s">
        <v>25</v>
      </c>
      <c r="AX15">
        <v>4509</v>
      </c>
      <c r="AY15" s="43"/>
    </row>
    <row r="16" spans="1:54" ht="16.5" x14ac:dyDescent="0.3">
      <c r="A16" s="32">
        <v>14</v>
      </c>
      <c r="B16" s="13" t="s">
        <v>21</v>
      </c>
      <c r="C16" s="11" t="s">
        <v>68</v>
      </c>
      <c r="D16" s="10">
        <v>0</v>
      </c>
      <c r="E16" s="11" t="s">
        <v>69</v>
      </c>
      <c r="F16" s="34" t="s">
        <v>70</v>
      </c>
      <c r="G16" s="6" t="s">
        <v>552</v>
      </c>
      <c r="H16" s="33">
        <v>401204</v>
      </c>
      <c r="I16" s="90">
        <v>147</v>
      </c>
      <c r="J16" s="90" t="str">
        <f t="shared" si="0"/>
        <v>110-130</v>
      </c>
      <c r="K16" s="91">
        <f t="shared" si="1"/>
        <v>10159.810450732197</v>
      </c>
      <c r="L16" s="35">
        <v>42</v>
      </c>
      <c r="M16" s="35" t="str">
        <f t="shared" si="2"/>
        <v>31-50</v>
      </c>
      <c r="N16" s="36">
        <f t="shared" si="3"/>
        <v>5073.1976040297868</v>
      </c>
      <c r="O16" s="51">
        <v>31</v>
      </c>
      <c r="P16" s="51" t="str">
        <f t="shared" si="20"/>
        <v>31-50</v>
      </c>
      <c r="Q16" s="51">
        <f t="shared" si="4"/>
        <v>5073.1976040297868</v>
      </c>
      <c r="R16" s="49">
        <v>62</v>
      </c>
      <c r="S16" s="49" t="str">
        <f t="shared" si="5"/>
        <v>51-80</v>
      </c>
      <c r="T16" s="49">
        <f t="shared" si="6"/>
        <v>6509</v>
      </c>
      <c r="U16" s="50">
        <v>62</v>
      </c>
      <c r="V16" s="50" t="str">
        <f t="shared" si="21"/>
        <v>51-80</v>
      </c>
      <c r="W16" s="50">
        <f t="shared" si="7"/>
        <v>6509</v>
      </c>
      <c r="X16" s="143">
        <v>0</v>
      </c>
      <c r="Y16" s="143" t="str">
        <f t="shared" si="22"/>
        <v>0-20</v>
      </c>
      <c r="Z16" s="143">
        <f t="shared" si="23"/>
        <v>3844.3574443810608</v>
      </c>
      <c r="AA16" s="116"/>
      <c r="AB16" s="114" t="str">
        <f t="shared" si="8"/>
        <v>0-20</v>
      </c>
      <c r="AC16" s="114">
        <f t="shared" si="9"/>
        <v>3844.3574443810608</v>
      </c>
      <c r="AD16" s="129"/>
      <c r="AE16" s="129" t="str">
        <f t="shared" si="24"/>
        <v>0-20</v>
      </c>
      <c r="AF16" s="129">
        <f t="shared" si="25"/>
        <v>3844.3574443810608</v>
      </c>
      <c r="AG16" s="138"/>
      <c r="AH16" s="138" t="str">
        <f t="shared" si="26"/>
        <v>0-20</v>
      </c>
      <c r="AI16" s="138">
        <f t="shared" si="27"/>
        <v>3844.3574443810608</v>
      </c>
      <c r="AJ16" s="36">
        <v>69</v>
      </c>
      <c r="AK16" s="36" t="str">
        <f t="shared" si="14"/>
        <v>51-80</v>
      </c>
      <c r="AL16" s="37">
        <f t="shared" si="15"/>
        <v>6509</v>
      </c>
      <c r="AM16" s="37">
        <v>103</v>
      </c>
      <c r="AN16" s="3" t="str">
        <f t="shared" si="16"/>
        <v>81-110</v>
      </c>
      <c r="AO16" s="119">
        <f t="shared" si="17"/>
        <v>8747.8561594387575</v>
      </c>
      <c r="AP16" s="133"/>
      <c r="AQ16" s="133" t="str">
        <f t="shared" si="18"/>
        <v>0-20</v>
      </c>
      <c r="AR16" s="133">
        <f t="shared" si="19"/>
        <v>3844.3574443810608</v>
      </c>
      <c r="AS16" s="131"/>
      <c r="AT16" s="131"/>
      <c r="AU16" s="41"/>
      <c r="AV16" s="41"/>
      <c r="AW16" s="41" t="s">
        <v>29</v>
      </c>
      <c r="AX16">
        <v>5073</v>
      </c>
      <c r="AY16" s="43"/>
    </row>
    <row r="17" spans="1:50" x14ac:dyDescent="0.25">
      <c r="A17" s="32">
        <v>15</v>
      </c>
      <c r="B17" s="13" t="s">
        <v>21</v>
      </c>
      <c r="C17" s="11" t="s">
        <v>71</v>
      </c>
      <c r="D17" s="10">
        <v>0</v>
      </c>
      <c r="E17" s="11" t="s">
        <v>72</v>
      </c>
      <c r="F17" s="34" t="s">
        <v>1274</v>
      </c>
      <c r="G17" s="6" t="s">
        <v>73</v>
      </c>
      <c r="H17" s="33">
        <v>400601</v>
      </c>
      <c r="I17" s="90">
        <v>106</v>
      </c>
      <c r="J17" s="90" t="str">
        <f t="shared" si="0"/>
        <v>81-110</v>
      </c>
      <c r="K17" s="91">
        <f t="shared" si="1"/>
        <v>8747.8561594387575</v>
      </c>
      <c r="L17" s="35">
        <v>12</v>
      </c>
      <c r="M17" s="35" t="str">
        <f t="shared" si="2"/>
        <v>0-20</v>
      </c>
      <c r="N17" s="36">
        <f t="shared" si="3"/>
        <v>3844.3574443810608</v>
      </c>
      <c r="O17" s="51">
        <v>37</v>
      </c>
      <c r="P17" s="51" t="str">
        <f t="shared" si="20"/>
        <v>31-50</v>
      </c>
      <c r="Q17" s="51">
        <f t="shared" si="4"/>
        <v>5073.1976040297868</v>
      </c>
      <c r="R17" s="49">
        <v>24</v>
      </c>
      <c r="S17" s="49" t="str">
        <f t="shared" si="5"/>
        <v>21-30</v>
      </c>
      <c r="T17" s="49">
        <f t="shared" si="6"/>
        <v>4508.6394748902885</v>
      </c>
      <c r="U17" s="50">
        <v>18</v>
      </c>
      <c r="V17" s="50" t="str">
        <f t="shared" si="21"/>
        <v>0-20</v>
      </c>
      <c r="W17" s="50">
        <f t="shared" si="7"/>
        <v>3844.3574443810608</v>
      </c>
      <c r="X17" s="143">
        <v>0</v>
      </c>
      <c r="Y17" s="143" t="str">
        <f t="shared" si="22"/>
        <v>0-20</v>
      </c>
      <c r="Z17" s="143">
        <f t="shared" si="23"/>
        <v>3844.3574443810608</v>
      </c>
      <c r="AA17" s="116"/>
      <c r="AB17" s="114" t="str">
        <f t="shared" si="8"/>
        <v>0-20</v>
      </c>
      <c r="AC17" s="114">
        <f t="shared" si="9"/>
        <v>3844.3574443810608</v>
      </c>
      <c r="AD17" s="129"/>
      <c r="AE17" s="129" t="str">
        <f t="shared" si="24"/>
        <v>0-20</v>
      </c>
      <c r="AF17" s="129">
        <f t="shared" si="25"/>
        <v>3844.3574443810608</v>
      </c>
      <c r="AG17" s="138">
        <v>85</v>
      </c>
      <c r="AH17" s="138" t="str">
        <f t="shared" si="26"/>
        <v>81-110</v>
      </c>
      <c r="AI17" s="138">
        <f t="shared" si="27"/>
        <v>8747.8561594387575</v>
      </c>
      <c r="AJ17" s="36">
        <v>25</v>
      </c>
      <c r="AK17" s="36" t="str">
        <f t="shared" si="14"/>
        <v>21-30</v>
      </c>
      <c r="AL17" s="37">
        <f t="shared" si="15"/>
        <v>4508.6394748902885</v>
      </c>
      <c r="AM17" s="37">
        <v>64</v>
      </c>
      <c r="AN17" s="3" t="str">
        <f t="shared" si="16"/>
        <v>51-80</v>
      </c>
      <c r="AO17" s="119">
        <f t="shared" si="17"/>
        <v>6509</v>
      </c>
      <c r="AP17" s="133"/>
      <c r="AQ17" s="133" t="str">
        <f t="shared" si="18"/>
        <v>0-20</v>
      </c>
      <c r="AR17" s="133">
        <f t="shared" si="19"/>
        <v>3844.3574443810608</v>
      </c>
      <c r="AS17" s="131"/>
      <c r="AT17" s="131"/>
      <c r="AU17" s="41"/>
      <c r="AV17" s="41"/>
      <c r="AW17" s="41" t="s">
        <v>34</v>
      </c>
      <c r="AX17">
        <v>6509</v>
      </c>
    </row>
    <row r="18" spans="1:50" x14ac:dyDescent="0.25">
      <c r="A18" s="32">
        <v>16</v>
      </c>
      <c r="B18" s="13" t="s">
        <v>21</v>
      </c>
      <c r="C18" s="11" t="s">
        <v>26</v>
      </c>
      <c r="D18" s="10" t="s">
        <v>912</v>
      </c>
      <c r="E18" s="11" t="s">
        <v>27</v>
      </c>
      <c r="F18" s="34" t="s">
        <v>28</v>
      </c>
      <c r="G18" s="6" t="s">
        <v>547</v>
      </c>
      <c r="H18" s="33">
        <v>401208</v>
      </c>
      <c r="I18" s="90">
        <v>133</v>
      </c>
      <c r="J18" s="90" t="str">
        <f t="shared" si="0"/>
        <v>110-130</v>
      </c>
      <c r="K18" s="91">
        <f t="shared" si="1"/>
        <v>10159.810450732197</v>
      </c>
      <c r="L18" s="35">
        <v>30</v>
      </c>
      <c r="M18" s="35" t="str">
        <f t="shared" si="2"/>
        <v>21-30</v>
      </c>
      <c r="N18" s="36">
        <f t="shared" si="3"/>
        <v>4508.6394748902885</v>
      </c>
      <c r="O18" s="51">
        <v>12</v>
      </c>
      <c r="P18" s="51" t="str">
        <f t="shared" si="20"/>
        <v>0-20</v>
      </c>
      <c r="Q18" s="51">
        <f t="shared" si="4"/>
        <v>3844.3574443810608</v>
      </c>
      <c r="R18" s="49">
        <v>41</v>
      </c>
      <c r="S18" s="49" t="str">
        <f t="shared" si="5"/>
        <v>31-50</v>
      </c>
      <c r="T18" s="49">
        <f t="shared" si="6"/>
        <v>5073.1976040297868</v>
      </c>
      <c r="U18" s="50">
        <v>67</v>
      </c>
      <c r="V18" s="50" t="str">
        <f t="shared" si="21"/>
        <v>51-80</v>
      </c>
      <c r="W18" s="50">
        <f t="shared" si="7"/>
        <v>6509</v>
      </c>
      <c r="X18" s="143">
        <v>0</v>
      </c>
      <c r="Y18" s="143" t="str">
        <f t="shared" si="22"/>
        <v>0-20</v>
      </c>
      <c r="Z18" s="143">
        <f t="shared" si="23"/>
        <v>3844.3574443810608</v>
      </c>
      <c r="AA18" s="116"/>
      <c r="AB18" s="114" t="str">
        <f t="shared" si="8"/>
        <v>0-20</v>
      </c>
      <c r="AC18" s="114">
        <f t="shared" si="9"/>
        <v>3844.3574443810608</v>
      </c>
      <c r="AD18" s="129"/>
      <c r="AE18" s="129" t="str">
        <f t="shared" si="24"/>
        <v>0-20</v>
      </c>
      <c r="AF18" s="129">
        <f t="shared" si="25"/>
        <v>3844.3574443810608</v>
      </c>
      <c r="AG18" s="138">
        <v>58</v>
      </c>
      <c r="AH18" s="138" t="str">
        <f t="shared" si="26"/>
        <v>51-80</v>
      </c>
      <c r="AI18" s="138">
        <f t="shared" si="27"/>
        <v>6509</v>
      </c>
      <c r="AJ18" s="36">
        <v>74</v>
      </c>
      <c r="AK18" s="36" t="str">
        <f t="shared" si="14"/>
        <v>51-80</v>
      </c>
      <c r="AL18" s="37">
        <f t="shared" si="15"/>
        <v>6509</v>
      </c>
      <c r="AM18" s="37">
        <v>106</v>
      </c>
      <c r="AN18" s="3" t="str">
        <f t="shared" si="16"/>
        <v>81-110</v>
      </c>
      <c r="AO18" s="119">
        <f t="shared" si="17"/>
        <v>8747.8561594387575</v>
      </c>
      <c r="AP18" s="133">
        <v>66</v>
      </c>
      <c r="AQ18" s="133" t="str">
        <f t="shared" si="18"/>
        <v>51-80</v>
      </c>
      <c r="AR18" s="133">
        <f t="shared" si="19"/>
        <v>6509</v>
      </c>
      <c r="AS18" s="131"/>
      <c r="AT18" s="131"/>
      <c r="AU18" s="41"/>
      <c r="AV18" s="41"/>
      <c r="AW18" s="41" t="s">
        <v>38</v>
      </c>
      <c r="AX18">
        <v>8748</v>
      </c>
    </row>
    <row r="19" spans="1:50" x14ac:dyDescent="0.25">
      <c r="A19" s="32">
        <v>17</v>
      </c>
      <c r="B19" s="13" t="s">
        <v>21</v>
      </c>
      <c r="C19" s="11" t="s">
        <v>453</v>
      </c>
      <c r="D19" s="10">
        <v>0</v>
      </c>
      <c r="E19" s="11" t="s">
        <v>454</v>
      </c>
      <c r="F19" s="34" t="s">
        <v>455</v>
      </c>
      <c r="G19" s="6" t="s">
        <v>289</v>
      </c>
      <c r="H19" s="33">
        <v>400612</v>
      </c>
      <c r="I19" s="90">
        <v>107</v>
      </c>
      <c r="J19" s="90" t="str">
        <f t="shared" si="0"/>
        <v>81-110</v>
      </c>
      <c r="K19" s="91">
        <f t="shared" si="1"/>
        <v>8747.8561594387575</v>
      </c>
      <c r="L19" s="35">
        <v>10</v>
      </c>
      <c r="M19" s="35" t="str">
        <f t="shared" si="2"/>
        <v>0-20</v>
      </c>
      <c r="N19" s="36">
        <f t="shared" si="3"/>
        <v>3844.3574443810608</v>
      </c>
      <c r="O19" s="51">
        <v>45.2</v>
      </c>
      <c r="P19" s="51" t="str">
        <f t="shared" si="20"/>
        <v>31-50</v>
      </c>
      <c r="Q19" s="51">
        <f t="shared" si="4"/>
        <v>5073.1976040297868</v>
      </c>
      <c r="R19" s="49">
        <v>34</v>
      </c>
      <c r="S19" s="49" t="str">
        <f t="shared" si="5"/>
        <v>31-50</v>
      </c>
      <c r="T19" s="49">
        <f t="shared" si="6"/>
        <v>5073.1976040297868</v>
      </c>
      <c r="U19" s="50">
        <v>30</v>
      </c>
      <c r="V19" s="50" t="str">
        <f t="shared" si="21"/>
        <v>21-30</v>
      </c>
      <c r="W19" s="50">
        <f t="shared" si="7"/>
        <v>4508.6394748902885</v>
      </c>
      <c r="X19" s="143">
        <v>0</v>
      </c>
      <c r="Y19" s="143" t="str">
        <f t="shared" si="22"/>
        <v>0-20</v>
      </c>
      <c r="Z19" s="143">
        <f t="shared" si="23"/>
        <v>3844.3574443810608</v>
      </c>
      <c r="AA19" s="116"/>
      <c r="AB19" s="114" t="str">
        <f t="shared" si="8"/>
        <v>0-20</v>
      </c>
      <c r="AC19" s="114">
        <f t="shared" si="9"/>
        <v>3844.3574443810608</v>
      </c>
      <c r="AD19" s="129"/>
      <c r="AE19" s="129" t="str">
        <f t="shared" si="24"/>
        <v>0-20</v>
      </c>
      <c r="AF19" s="129">
        <f t="shared" si="25"/>
        <v>3844.3574443810608</v>
      </c>
      <c r="AG19" s="138">
        <v>92</v>
      </c>
      <c r="AH19" s="138" t="str">
        <f t="shared" si="26"/>
        <v>81-110</v>
      </c>
      <c r="AI19" s="138">
        <f t="shared" si="27"/>
        <v>8747.8561594387575</v>
      </c>
      <c r="AJ19" s="36">
        <v>27</v>
      </c>
      <c r="AK19" s="36" t="str">
        <f t="shared" si="14"/>
        <v>21-30</v>
      </c>
      <c r="AL19" s="37">
        <f t="shared" si="15"/>
        <v>4508.6394748902885</v>
      </c>
      <c r="AM19" s="37"/>
      <c r="AN19" s="3" t="str">
        <f t="shared" si="16"/>
        <v>0-20</v>
      </c>
      <c r="AO19" s="119">
        <f t="shared" si="17"/>
        <v>3844.3574443810608</v>
      </c>
      <c r="AP19" s="133"/>
      <c r="AQ19" s="133" t="str">
        <f t="shared" si="18"/>
        <v>0-20</v>
      </c>
      <c r="AR19" s="133">
        <f t="shared" si="19"/>
        <v>3844.3574443810608</v>
      </c>
      <c r="AS19" s="131"/>
      <c r="AT19" s="131"/>
      <c r="AU19" s="41"/>
      <c r="AV19" s="41"/>
      <c r="AW19" s="41" t="s">
        <v>42</v>
      </c>
      <c r="AX19">
        <v>10160</v>
      </c>
    </row>
    <row r="20" spans="1:50" x14ac:dyDescent="0.25">
      <c r="A20" s="32">
        <v>18</v>
      </c>
      <c r="B20" s="13" t="s">
        <v>21</v>
      </c>
      <c r="C20" s="11" t="s">
        <v>74</v>
      </c>
      <c r="D20" s="10" t="s">
        <v>913</v>
      </c>
      <c r="E20" s="11" t="s">
        <v>75</v>
      </c>
      <c r="F20" s="34" t="s">
        <v>1283</v>
      </c>
      <c r="G20" s="6" t="s">
        <v>76</v>
      </c>
      <c r="H20" s="33">
        <v>401303</v>
      </c>
      <c r="I20" s="90">
        <v>147</v>
      </c>
      <c r="J20" s="90" t="str">
        <f t="shared" si="0"/>
        <v>110-130</v>
      </c>
      <c r="K20" s="91">
        <f t="shared" si="1"/>
        <v>10159.810450732197</v>
      </c>
      <c r="L20" s="35">
        <v>42</v>
      </c>
      <c r="M20" s="35" t="str">
        <f t="shared" si="2"/>
        <v>31-50</v>
      </c>
      <c r="N20" s="36">
        <f t="shared" si="3"/>
        <v>5073.1976040297868</v>
      </c>
      <c r="O20" s="51">
        <v>14</v>
      </c>
      <c r="P20" s="51" t="str">
        <f t="shared" si="20"/>
        <v>0-20</v>
      </c>
      <c r="Q20" s="51">
        <f t="shared" si="4"/>
        <v>3844.3574443810608</v>
      </c>
      <c r="R20" s="49">
        <v>52</v>
      </c>
      <c r="S20" s="49" t="str">
        <f t="shared" si="5"/>
        <v>51-80</v>
      </c>
      <c r="T20" s="49">
        <f t="shared" si="6"/>
        <v>6509</v>
      </c>
      <c r="U20" s="50">
        <v>67</v>
      </c>
      <c r="V20" s="50" t="str">
        <f t="shared" si="21"/>
        <v>51-80</v>
      </c>
      <c r="W20" s="50">
        <f t="shared" si="7"/>
        <v>6509</v>
      </c>
      <c r="X20" s="143">
        <v>0</v>
      </c>
      <c r="Y20" s="143" t="str">
        <f t="shared" si="22"/>
        <v>0-20</v>
      </c>
      <c r="Z20" s="143">
        <f t="shared" si="23"/>
        <v>3844.3574443810608</v>
      </c>
      <c r="AA20" s="116">
        <v>50</v>
      </c>
      <c r="AB20" s="114" t="str">
        <f t="shared" si="8"/>
        <v>31-50</v>
      </c>
      <c r="AC20" s="114">
        <f t="shared" si="9"/>
        <v>5073.1976040297868</v>
      </c>
      <c r="AD20" s="129"/>
      <c r="AE20" s="129" t="str">
        <f t="shared" si="24"/>
        <v>0-20</v>
      </c>
      <c r="AF20" s="129">
        <f t="shared" si="25"/>
        <v>3844.3574443810608</v>
      </c>
      <c r="AG20" s="138">
        <v>57</v>
      </c>
      <c r="AH20" s="138" t="str">
        <f t="shared" si="26"/>
        <v>51-80</v>
      </c>
      <c r="AI20" s="138">
        <f t="shared" si="27"/>
        <v>6509</v>
      </c>
      <c r="AJ20" s="36">
        <v>74</v>
      </c>
      <c r="AK20" s="36" t="str">
        <f t="shared" si="14"/>
        <v>51-80</v>
      </c>
      <c r="AL20" s="37">
        <f t="shared" si="15"/>
        <v>6509</v>
      </c>
      <c r="AM20" s="37"/>
      <c r="AN20" s="3" t="str">
        <f t="shared" si="16"/>
        <v>0-20</v>
      </c>
      <c r="AO20" s="119">
        <f t="shared" si="17"/>
        <v>3844.3574443810608</v>
      </c>
      <c r="AP20" s="133">
        <v>69</v>
      </c>
      <c r="AQ20" s="133" t="str">
        <f t="shared" si="18"/>
        <v>51-80</v>
      </c>
      <c r="AR20" s="133">
        <f t="shared" si="19"/>
        <v>6509</v>
      </c>
      <c r="AS20" s="131"/>
      <c r="AT20" s="131"/>
      <c r="AU20" s="41"/>
      <c r="AV20" s="41"/>
      <c r="AW20" s="41"/>
    </row>
    <row r="21" spans="1:50" x14ac:dyDescent="0.25">
      <c r="A21" s="32">
        <v>19</v>
      </c>
      <c r="B21" s="13" t="s">
        <v>21</v>
      </c>
      <c r="C21" s="9" t="s">
        <v>562</v>
      </c>
      <c r="D21" s="10" t="s">
        <v>914</v>
      </c>
      <c r="E21" s="9" t="s">
        <v>563</v>
      </c>
      <c r="F21" s="12" t="s">
        <v>564</v>
      </c>
      <c r="G21" s="12" t="s">
        <v>565</v>
      </c>
      <c r="H21" s="12">
        <v>401506</v>
      </c>
      <c r="I21" s="90">
        <v>189</v>
      </c>
      <c r="J21" s="90" t="str">
        <f>VLOOKUP(I21,'[1]M2 Trip Matrix'!$AB$3:$AC$8,2,1)</f>
        <v>110-130</v>
      </c>
      <c r="K21" s="91">
        <f t="shared" si="1"/>
        <v>10159.810450732197</v>
      </c>
      <c r="L21" s="2">
        <v>88</v>
      </c>
      <c r="M21" s="35" t="str">
        <f>VLOOKUP(L21,'[1]M2 Trip Matrix'!$AB$3:$AC$8,2,1)</f>
        <v>81-110</v>
      </c>
      <c r="N21" s="36">
        <f>VLOOKUP(M21,'[1]M2 Trip Matrix'!$AC$2:$AD$8,2,0)</f>
        <v>8454</v>
      </c>
      <c r="O21" s="20">
        <v>55</v>
      </c>
      <c r="P21" s="51" t="str">
        <f t="shared" si="20"/>
        <v>51-80</v>
      </c>
      <c r="Q21" s="51">
        <f t="shared" si="4"/>
        <v>6509</v>
      </c>
      <c r="R21" s="21">
        <v>97</v>
      </c>
      <c r="S21" s="49" t="str">
        <f t="shared" si="5"/>
        <v>81-110</v>
      </c>
      <c r="T21" s="49">
        <f t="shared" si="6"/>
        <v>8747.8561594387575</v>
      </c>
      <c r="U21" s="22">
        <v>105</v>
      </c>
      <c r="V21" s="50" t="str">
        <f t="shared" si="21"/>
        <v>81-110</v>
      </c>
      <c r="W21" s="50">
        <f t="shared" si="7"/>
        <v>8747.8561594387575</v>
      </c>
      <c r="X21" s="143">
        <v>0</v>
      </c>
      <c r="Y21" s="143" t="str">
        <f t="shared" si="22"/>
        <v>0-20</v>
      </c>
      <c r="Z21" s="143">
        <f t="shared" si="23"/>
        <v>3844.3574443810608</v>
      </c>
      <c r="AA21" s="115"/>
      <c r="AB21" s="114" t="str">
        <f t="shared" si="8"/>
        <v>0-20</v>
      </c>
      <c r="AC21" s="114">
        <f t="shared" si="9"/>
        <v>3844.3574443810608</v>
      </c>
      <c r="AD21" s="129"/>
      <c r="AE21" s="129" t="str">
        <f t="shared" si="24"/>
        <v>0-20</v>
      </c>
      <c r="AF21" s="129">
        <f t="shared" si="25"/>
        <v>3844.3574443810608</v>
      </c>
      <c r="AG21" s="138">
        <v>44</v>
      </c>
      <c r="AH21" s="138" t="str">
        <f t="shared" si="26"/>
        <v>31-50</v>
      </c>
      <c r="AI21" s="138">
        <f t="shared" si="27"/>
        <v>5073.1976040297868</v>
      </c>
      <c r="AJ21" s="22"/>
      <c r="AK21" s="2"/>
      <c r="AL21" s="2"/>
      <c r="AM21" s="2"/>
      <c r="AN21" s="3" t="str">
        <f t="shared" si="16"/>
        <v>0-20</v>
      </c>
      <c r="AO21" s="119">
        <f t="shared" si="17"/>
        <v>3844.3574443810608</v>
      </c>
      <c r="AP21" s="133">
        <v>44</v>
      </c>
      <c r="AQ21" s="133" t="str">
        <f t="shared" si="18"/>
        <v>31-50</v>
      </c>
      <c r="AR21" s="133">
        <f t="shared" si="19"/>
        <v>5073.1976040297868</v>
      </c>
      <c r="AS21" s="131"/>
      <c r="AT21" s="131"/>
      <c r="AU21" s="41"/>
      <c r="AV21" s="41"/>
      <c r="AW21" s="41"/>
    </row>
    <row r="22" spans="1:50" x14ac:dyDescent="0.25">
      <c r="A22" s="32">
        <v>20</v>
      </c>
      <c r="B22" s="13" t="s">
        <v>21</v>
      </c>
      <c r="C22" s="11" t="s">
        <v>79</v>
      </c>
      <c r="D22" s="10" t="s">
        <v>915</v>
      </c>
      <c r="E22" s="11" t="s">
        <v>80</v>
      </c>
      <c r="F22" s="34" t="s">
        <v>81</v>
      </c>
      <c r="G22" s="6" t="s">
        <v>82</v>
      </c>
      <c r="H22" s="33">
        <v>402110</v>
      </c>
      <c r="I22" s="90">
        <v>173</v>
      </c>
      <c r="J22" s="90" t="str">
        <f t="shared" ref="J22:J36" si="28">VLOOKUP(I22,$AV$4:$AW$9,2,1)</f>
        <v>110-130</v>
      </c>
      <c r="K22" s="91">
        <f t="shared" si="1"/>
        <v>10159.810450732197</v>
      </c>
      <c r="L22" s="35">
        <v>193</v>
      </c>
      <c r="M22" s="35" t="str">
        <f t="shared" ref="M22:M62" si="29">VLOOKUP(L22,$AV$4:$AW$9,2,1)</f>
        <v>110-130</v>
      </c>
      <c r="N22" s="36">
        <f t="shared" ref="N22:N62" si="30">VLOOKUP(M22,$AW$3:$AX$9,2,0)</f>
        <v>10159.810450732197</v>
      </c>
      <c r="O22" s="51">
        <v>218</v>
      </c>
      <c r="P22" s="51" t="str">
        <f t="shared" si="20"/>
        <v>110-130</v>
      </c>
      <c r="Q22" s="51">
        <f t="shared" si="4"/>
        <v>10159.810450732197</v>
      </c>
      <c r="R22" s="49">
        <v>185</v>
      </c>
      <c r="S22" s="49" t="str">
        <f t="shared" si="5"/>
        <v>110-130</v>
      </c>
      <c r="T22" s="49">
        <f t="shared" si="6"/>
        <v>10159.810450732197</v>
      </c>
      <c r="U22" s="50">
        <v>191</v>
      </c>
      <c r="V22" s="50" t="str">
        <f t="shared" si="21"/>
        <v>110-130</v>
      </c>
      <c r="W22" s="50">
        <f t="shared" si="7"/>
        <v>10159.810450732197</v>
      </c>
      <c r="X22" s="143">
        <v>0</v>
      </c>
      <c r="Y22" s="143" t="str">
        <f t="shared" si="22"/>
        <v>0-20</v>
      </c>
      <c r="Z22" s="143">
        <f t="shared" si="23"/>
        <v>3844.3574443810608</v>
      </c>
      <c r="AA22" s="116"/>
      <c r="AB22" s="114" t="str">
        <f t="shared" si="8"/>
        <v>0-20</v>
      </c>
      <c r="AC22" s="114">
        <f t="shared" si="9"/>
        <v>3844.3574443810608</v>
      </c>
      <c r="AD22" s="129"/>
      <c r="AE22" s="129" t="str">
        <f t="shared" si="24"/>
        <v>0-20</v>
      </c>
      <c r="AF22" s="129">
        <f t="shared" si="25"/>
        <v>3844.3574443810608</v>
      </c>
      <c r="AG22" s="138"/>
      <c r="AH22" s="138" t="str">
        <f t="shared" si="26"/>
        <v>0-20</v>
      </c>
      <c r="AI22" s="138">
        <f t="shared" si="27"/>
        <v>3844.3574443810608</v>
      </c>
      <c r="AJ22" s="36">
        <v>190</v>
      </c>
      <c r="AK22" s="36" t="str">
        <f t="shared" ref="AK22:AK67" si="31">VLOOKUP(AJ22,$AV$3:$AW$9,2,1)</f>
        <v>110-130</v>
      </c>
      <c r="AL22" s="37">
        <f t="shared" ref="AL22:AL67" si="32">VLOOKUP(AK22,$AW$3:$AX$9,2,0)</f>
        <v>10159.810450732197</v>
      </c>
      <c r="AM22" s="37"/>
      <c r="AN22" s="3" t="str">
        <f t="shared" si="16"/>
        <v>0-20</v>
      </c>
      <c r="AO22" s="119">
        <f t="shared" si="17"/>
        <v>3844.3574443810608</v>
      </c>
      <c r="AP22" s="133">
        <v>260</v>
      </c>
      <c r="AQ22" s="133" t="str">
        <f t="shared" si="18"/>
        <v>110-130</v>
      </c>
      <c r="AR22" s="133">
        <f t="shared" si="19"/>
        <v>10159.810450732197</v>
      </c>
      <c r="AS22" s="131"/>
      <c r="AT22" s="131"/>
      <c r="AU22" s="41"/>
      <c r="AV22" s="41"/>
      <c r="AW22" s="41"/>
    </row>
    <row r="23" spans="1:50" x14ac:dyDescent="0.25">
      <c r="A23" s="32">
        <v>21</v>
      </c>
      <c r="B23" s="13" t="s">
        <v>21</v>
      </c>
      <c r="C23" s="11" t="s">
        <v>83</v>
      </c>
      <c r="D23" s="10" t="s">
        <v>916</v>
      </c>
      <c r="E23" s="11" t="s">
        <v>84</v>
      </c>
      <c r="F23" s="34" t="s">
        <v>85</v>
      </c>
      <c r="G23" s="6" t="s">
        <v>86</v>
      </c>
      <c r="H23" s="33">
        <v>410205</v>
      </c>
      <c r="I23" s="90">
        <v>72</v>
      </c>
      <c r="J23" s="90" t="str">
        <f t="shared" si="28"/>
        <v>51-80</v>
      </c>
      <c r="K23" s="91">
        <f t="shared" si="1"/>
        <v>6509</v>
      </c>
      <c r="L23" s="35">
        <v>92</v>
      </c>
      <c r="M23" s="35" t="str">
        <f t="shared" si="29"/>
        <v>81-110</v>
      </c>
      <c r="N23" s="36">
        <f t="shared" si="30"/>
        <v>8747.8561594387575</v>
      </c>
      <c r="O23" s="51">
        <v>117</v>
      </c>
      <c r="P23" s="51" t="str">
        <f t="shared" si="20"/>
        <v>110-130</v>
      </c>
      <c r="Q23" s="51">
        <f t="shared" si="4"/>
        <v>10159.810450732197</v>
      </c>
      <c r="R23" s="49">
        <v>118</v>
      </c>
      <c r="S23" s="49" t="str">
        <f t="shared" si="5"/>
        <v>110-130</v>
      </c>
      <c r="T23" s="49">
        <f t="shared" si="6"/>
        <v>10159.810450732197</v>
      </c>
      <c r="U23" s="50">
        <v>90</v>
      </c>
      <c r="V23" s="50" t="str">
        <f t="shared" si="21"/>
        <v>81-110</v>
      </c>
      <c r="W23" s="50">
        <f t="shared" si="7"/>
        <v>8747.8561594387575</v>
      </c>
      <c r="X23" s="143">
        <v>0</v>
      </c>
      <c r="Y23" s="143" t="str">
        <f t="shared" si="22"/>
        <v>0-20</v>
      </c>
      <c r="Z23" s="143">
        <f t="shared" si="23"/>
        <v>3844.3574443810608</v>
      </c>
      <c r="AA23" s="116"/>
      <c r="AB23" s="114" t="str">
        <f t="shared" si="8"/>
        <v>0-20</v>
      </c>
      <c r="AC23" s="114">
        <f t="shared" si="9"/>
        <v>3844.3574443810608</v>
      </c>
      <c r="AD23" s="129"/>
      <c r="AE23" s="129" t="str">
        <f t="shared" si="24"/>
        <v>0-20</v>
      </c>
      <c r="AF23" s="129">
        <f t="shared" si="25"/>
        <v>3844.3574443810608</v>
      </c>
      <c r="AG23" s="138"/>
      <c r="AH23" s="138" t="str">
        <f t="shared" si="26"/>
        <v>0-20</v>
      </c>
      <c r="AI23" s="138">
        <f t="shared" si="27"/>
        <v>3844.3574443810608</v>
      </c>
      <c r="AJ23" s="36">
        <v>88</v>
      </c>
      <c r="AK23" s="36" t="str">
        <f t="shared" si="31"/>
        <v>81-110</v>
      </c>
      <c r="AL23" s="37">
        <f t="shared" si="32"/>
        <v>8747.8561594387575</v>
      </c>
      <c r="AM23" s="37"/>
      <c r="AN23" s="3" t="str">
        <f t="shared" si="16"/>
        <v>0-20</v>
      </c>
      <c r="AO23" s="119">
        <f t="shared" si="17"/>
        <v>3844.3574443810608</v>
      </c>
      <c r="AP23" s="133">
        <v>171</v>
      </c>
      <c r="AQ23" s="133" t="str">
        <f t="shared" si="18"/>
        <v>110-130</v>
      </c>
      <c r="AR23" s="133">
        <f t="shared" si="19"/>
        <v>10159.810450732197</v>
      </c>
      <c r="AS23" s="131"/>
      <c r="AT23" s="131"/>
      <c r="AU23" s="41"/>
      <c r="AV23" s="41"/>
      <c r="AW23" s="41"/>
    </row>
    <row r="24" spans="1:50" x14ac:dyDescent="0.25">
      <c r="A24" s="32">
        <v>22</v>
      </c>
      <c r="B24" s="13" t="s">
        <v>21</v>
      </c>
      <c r="C24" s="11" t="s">
        <v>93</v>
      </c>
      <c r="D24" s="10" t="s">
        <v>917</v>
      </c>
      <c r="E24" s="11" t="s">
        <v>94</v>
      </c>
      <c r="F24" s="34" t="s">
        <v>1275</v>
      </c>
      <c r="G24" s="6" t="s">
        <v>95</v>
      </c>
      <c r="H24" s="33">
        <v>400706</v>
      </c>
      <c r="I24" s="90">
        <v>91</v>
      </c>
      <c r="J24" s="90" t="str">
        <f t="shared" si="28"/>
        <v>81-110</v>
      </c>
      <c r="K24" s="91">
        <f t="shared" si="1"/>
        <v>8747.8561594387575</v>
      </c>
      <c r="L24" s="99">
        <v>29</v>
      </c>
      <c r="M24" s="99" t="str">
        <f t="shared" si="29"/>
        <v>21-30</v>
      </c>
      <c r="N24" s="100">
        <f t="shared" si="30"/>
        <v>4508.6394748902885</v>
      </c>
      <c r="O24" s="51">
        <v>66</v>
      </c>
      <c r="P24" s="51" t="str">
        <f t="shared" si="20"/>
        <v>51-80</v>
      </c>
      <c r="Q24" s="51">
        <f t="shared" si="4"/>
        <v>6509</v>
      </c>
      <c r="R24" s="49">
        <v>33</v>
      </c>
      <c r="S24" s="49" t="str">
        <f t="shared" si="5"/>
        <v>31-50</v>
      </c>
      <c r="T24" s="49">
        <f t="shared" si="6"/>
        <v>5073.1976040297868</v>
      </c>
      <c r="U24" s="50">
        <v>22</v>
      </c>
      <c r="V24" s="50" t="str">
        <f t="shared" si="21"/>
        <v>21-30</v>
      </c>
      <c r="W24" s="50">
        <f t="shared" si="7"/>
        <v>4508.6394748902885</v>
      </c>
      <c r="X24" s="143">
        <v>0</v>
      </c>
      <c r="Y24" s="143" t="str">
        <f t="shared" si="22"/>
        <v>0-20</v>
      </c>
      <c r="Z24" s="143">
        <f t="shared" si="23"/>
        <v>3844.3574443810608</v>
      </c>
      <c r="AA24" s="116"/>
      <c r="AB24" s="114" t="str">
        <f t="shared" si="8"/>
        <v>0-20</v>
      </c>
      <c r="AC24" s="114">
        <f t="shared" si="9"/>
        <v>3844.3574443810608</v>
      </c>
      <c r="AD24" s="129"/>
      <c r="AE24" s="129" t="str">
        <f t="shared" si="24"/>
        <v>0-20</v>
      </c>
      <c r="AF24" s="129">
        <f t="shared" si="25"/>
        <v>3844.3574443810608</v>
      </c>
      <c r="AG24" s="138">
        <v>108</v>
      </c>
      <c r="AH24" s="138" t="str">
        <f t="shared" si="26"/>
        <v>81-110</v>
      </c>
      <c r="AI24" s="138">
        <f t="shared" si="27"/>
        <v>8747.8561594387575</v>
      </c>
      <c r="AJ24" s="36">
        <v>20</v>
      </c>
      <c r="AK24" s="36" t="str">
        <f t="shared" si="31"/>
        <v>0-20</v>
      </c>
      <c r="AL24" s="37">
        <f t="shared" si="32"/>
        <v>3844.3574443810608</v>
      </c>
      <c r="AM24" s="37">
        <v>46</v>
      </c>
      <c r="AN24" s="3" t="str">
        <f t="shared" si="16"/>
        <v>31-50</v>
      </c>
      <c r="AO24" s="119">
        <f t="shared" si="17"/>
        <v>5073.1976040297868</v>
      </c>
      <c r="AP24" s="133">
        <v>104</v>
      </c>
      <c r="AQ24" s="133" t="str">
        <f t="shared" si="18"/>
        <v>81-110</v>
      </c>
      <c r="AR24" s="133">
        <f t="shared" si="19"/>
        <v>8747.8561594387575</v>
      </c>
      <c r="AS24" s="131"/>
      <c r="AT24" s="131"/>
      <c r="AU24" s="41"/>
      <c r="AV24" s="41"/>
      <c r="AW24" s="41"/>
    </row>
    <row r="25" spans="1:50" x14ac:dyDescent="0.25">
      <c r="A25" s="32">
        <v>23</v>
      </c>
      <c r="B25" s="13" t="s">
        <v>21</v>
      </c>
      <c r="C25" s="11" t="s">
        <v>87</v>
      </c>
      <c r="D25" s="10" t="s">
        <v>918</v>
      </c>
      <c r="E25" s="11" t="s">
        <v>88</v>
      </c>
      <c r="F25" s="34" t="s">
        <v>1276</v>
      </c>
      <c r="G25" s="17" t="s">
        <v>89</v>
      </c>
      <c r="H25" s="107">
        <v>401501</v>
      </c>
      <c r="I25" s="90">
        <v>202</v>
      </c>
      <c r="J25" s="90" t="str">
        <f t="shared" si="28"/>
        <v>110-130</v>
      </c>
      <c r="K25" s="91">
        <f t="shared" si="1"/>
        <v>10159.810450732197</v>
      </c>
      <c r="L25" s="35">
        <v>125</v>
      </c>
      <c r="M25" s="35" t="str">
        <f t="shared" si="29"/>
        <v>110-130</v>
      </c>
      <c r="N25" s="36">
        <f t="shared" si="30"/>
        <v>10159.810450732197</v>
      </c>
      <c r="O25" s="51">
        <v>85</v>
      </c>
      <c r="P25" s="51" t="str">
        <f t="shared" si="20"/>
        <v>81-110</v>
      </c>
      <c r="Q25" s="51">
        <f t="shared" si="4"/>
        <v>8747.8561594387575</v>
      </c>
      <c r="R25" s="49">
        <v>127</v>
      </c>
      <c r="S25" s="49" t="str">
        <f t="shared" si="5"/>
        <v>110-130</v>
      </c>
      <c r="T25" s="49">
        <f t="shared" si="6"/>
        <v>10159.810450732197</v>
      </c>
      <c r="U25" s="50">
        <v>138</v>
      </c>
      <c r="V25" s="50" t="str">
        <f t="shared" si="21"/>
        <v>110-130</v>
      </c>
      <c r="W25" s="50">
        <f t="shared" si="7"/>
        <v>10159.810450732197</v>
      </c>
      <c r="X25" s="143">
        <v>118</v>
      </c>
      <c r="Y25" s="143" t="str">
        <f t="shared" si="22"/>
        <v>110-130</v>
      </c>
      <c r="Z25" s="143">
        <f t="shared" si="23"/>
        <v>10159.810450732197</v>
      </c>
      <c r="AA25" s="116"/>
      <c r="AB25" s="114" t="str">
        <f t="shared" si="8"/>
        <v>0-20</v>
      </c>
      <c r="AC25" s="114">
        <f t="shared" si="9"/>
        <v>3844.3574443810608</v>
      </c>
      <c r="AD25" s="129"/>
      <c r="AE25" s="129" t="str">
        <f t="shared" si="24"/>
        <v>0-20</v>
      </c>
      <c r="AF25" s="129">
        <f t="shared" si="25"/>
        <v>3844.3574443810608</v>
      </c>
      <c r="AG25" s="138">
        <v>37</v>
      </c>
      <c r="AH25" s="138" t="str">
        <f t="shared" si="26"/>
        <v>31-50</v>
      </c>
      <c r="AI25" s="138">
        <f t="shared" si="27"/>
        <v>5073.1976040297868</v>
      </c>
      <c r="AJ25" s="36">
        <v>139</v>
      </c>
      <c r="AK25" s="36" t="str">
        <f t="shared" si="31"/>
        <v>110-130</v>
      </c>
      <c r="AL25" s="37">
        <f t="shared" si="32"/>
        <v>10159.810450732197</v>
      </c>
      <c r="AM25" s="37">
        <v>184</v>
      </c>
      <c r="AN25" s="3" t="str">
        <f t="shared" si="16"/>
        <v>110-130</v>
      </c>
      <c r="AO25" s="119">
        <f t="shared" si="17"/>
        <v>10159.810450732197</v>
      </c>
      <c r="AP25" s="133">
        <v>73</v>
      </c>
      <c r="AQ25" s="133" t="str">
        <f t="shared" si="18"/>
        <v>51-80</v>
      </c>
      <c r="AR25" s="133">
        <f t="shared" si="19"/>
        <v>6509</v>
      </c>
      <c r="AS25" s="131"/>
      <c r="AT25" s="131"/>
      <c r="AU25" s="41"/>
      <c r="AV25" s="41"/>
      <c r="AW25" s="41"/>
    </row>
    <row r="26" spans="1:50" x14ac:dyDescent="0.25">
      <c r="A26" s="32">
        <v>24</v>
      </c>
      <c r="B26" s="13" t="s">
        <v>21</v>
      </c>
      <c r="C26" s="11" t="s">
        <v>90</v>
      </c>
      <c r="D26" s="10" t="s">
        <v>919</v>
      </c>
      <c r="E26" s="11" t="s">
        <v>91</v>
      </c>
      <c r="F26" s="34" t="s">
        <v>1277</v>
      </c>
      <c r="G26" s="6" t="s">
        <v>92</v>
      </c>
      <c r="H26" s="33">
        <v>410206</v>
      </c>
      <c r="I26" s="90">
        <v>84</v>
      </c>
      <c r="J26" s="90" t="str">
        <f t="shared" si="28"/>
        <v>81-110</v>
      </c>
      <c r="K26" s="91">
        <f t="shared" si="1"/>
        <v>8747.8561594387575</v>
      </c>
      <c r="L26" s="35">
        <v>48</v>
      </c>
      <c r="M26" s="35" t="str">
        <f t="shared" si="29"/>
        <v>31-50</v>
      </c>
      <c r="N26" s="36">
        <f t="shared" si="30"/>
        <v>5073.1976040297868</v>
      </c>
      <c r="O26" s="51">
        <v>59</v>
      </c>
      <c r="P26" s="51" t="str">
        <f t="shared" si="20"/>
        <v>51-80</v>
      </c>
      <c r="Q26" s="51">
        <f t="shared" si="4"/>
        <v>6509</v>
      </c>
      <c r="R26" s="49">
        <v>44</v>
      </c>
      <c r="S26" s="49" t="str">
        <f t="shared" si="5"/>
        <v>31-50</v>
      </c>
      <c r="T26" s="49">
        <f t="shared" si="6"/>
        <v>5073.1976040297868</v>
      </c>
      <c r="U26" s="50">
        <v>18</v>
      </c>
      <c r="V26" s="50" t="str">
        <f t="shared" si="21"/>
        <v>0-20</v>
      </c>
      <c r="W26" s="50">
        <f t="shared" si="7"/>
        <v>3844.3574443810608</v>
      </c>
      <c r="X26" s="143">
        <v>0</v>
      </c>
      <c r="Y26" s="143" t="str">
        <f t="shared" si="22"/>
        <v>0-20</v>
      </c>
      <c r="Z26" s="143">
        <f t="shared" si="23"/>
        <v>3844.3574443810608</v>
      </c>
      <c r="AA26" s="116"/>
      <c r="AB26" s="114" t="str">
        <f t="shared" si="8"/>
        <v>0-20</v>
      </c>
      <c r="AC26" s="114">
        <f t="shared" si="9"/>
        <v>3844.3574443810608</v>
      </c>
      <c r="AD26" s="129"/>
      <c r="AE26" s="129" t="str">
        <f t="shared" si="24"/>
        <v>0-20</v>
      </c>
      <c r="AF26" s="129">
        <f t="shared" si="25"/>
        <v>3844.3574443810608</v>
      </c>
      <c r="AG26" s="139">
        <v>106</v>
      </c>
      <c r="AH26" s="138" t="str">
        <f t="shared" si="26"/>
        <v>81-110</v>
      </c>
      <c r="AI26" s="138">
        <f t="shared" si="27"/>
        <v>8747.8561594387575</v>
      </c>
      <c r="AJ26" s="36">
        <v>64</v>
      </c>
      <c r="AK26" s="36" t="str">
        <f t="shared" si="31"/>
        <v>51-80</v>
      </c>
      <c r="AL26" s="37">
        <f t="shared" si="32"/>
        <v>6509</v>
      </c>
      <c r="AM26" s="37">
        <v>48</v>
      </c>
      <c r="AN26" s="3" t="str">
        <f t="shared" si="16"/>
        <v>31-50</v>
      </c>
      <c r="AO26" s="119">
        <f t="shared" si="17"/>
        <v>5073.1976040297868</v>
      </c>
      <c r="AP26" s="133">
        <v>98</v>
      </c>
      <c r="AQ26" s="133" t="str">
        <f t="shared" si="18"/>
        <v>81-110</v>
      </c>
      <c r="AR26" s="133">
        <f t="shared" si="19"/>
        <v>8747.8561594387575</v>
      </c>
      <c r="AS26" s="131"/>
      <c r="AT26" s="131"/>
      <c r="AU26" s="41"/>
      <c r="AV26" s="41"/>
      <c r="AW26" s="41"/>
    </row>
    <row r="27" spans="1:50" x14ac:dyDescent="0.25">
      <c r="A27" s="32">
        <v>25</v>
      </c>
      <c r="B27" s="13" t="s">
        <v>21</v>
      </c>
      <c r="C27" s="11" t="s">
        <v>476</v>
      </c>
      <c r="D27" s="10" t="s">
        <v>920</v>
      </c>
      <c r="E27" s="11" t="s">
        <v>477</v>
      </c>
      <c r="F27" s="34" t="s">
        <v>478</v>
      </c>
      <c r="G27" s="6" t="s">
        <v>479</v>
      </c>
      <c r="H27" s="33">
        <v>421201</v>
      </c>
      <c r="I27" s="90">
        <v>108</v>
      </c>
      <c r="J27" s="90" t="str">
        <f t="shared" si="28"/>
        <v>81-110</v>
      </c>
      <c r="K27" s="91">
        <f t="shared" si="1"/>
        <v>8747.8561594387575</v>
      </c>
      <c r="L27" s="35">
        <v>28</v>
      </c>
      <c r="M27" s="35" t="str">
        <f t="shared" si="29"/>
        <v>21-30</v>
      </c>
      <c r="N27" s="36">
        <f t="shared" si="30"/>
        <v>4508.6394748902885</v>
      </c>
      <c r="O27" s="51">
        <v>50</v>
      </c>
      <c r="P27" s="51" t="str">
        <f t="shared" si="20"/>
        <v>31-50</v>
      </c>
      <c r="Q27" s="51">
        <f t="shared" si="4"/>
        <v>5073.1976040297868</v>
      </c>
      <c r="R27" s="49">
        <v>42</v>
      </c>
      <c r="S27" s="49" t="str">
        <f t="shared" si="5"/>
        <v>31-50</v>
      </c>
      <c r="T27" s="49">
        <f t="shared" si="6"/>
        <v>5073.1976040297868</v>
      </c>
      <c r="U27" s="50">
        <v>39</v>
      </c>
      <c r="V27" s="50" t="str">
        <f t="shared" si="21"/>
        <v>31-50</v>
      </c>
      <c r="W27" s="50">
        <f t="shared" si="7"/>
        <v>5073.1976040297868</v>
      </c>
      <c r="X27" s="143">
        <v>0</v>
      </c>
      <c r="Y27" s="143" t="str">
        <f t="shared" si="22"/>
        <v>0-20</v>
      </c>
      <c r="Z27" s="143">
        <f t="shared" si="23"/>
        <v>3844.3574443810608</v>
      </c>
      <c r="AA27" s="116"/>
      <c r="AB27" s="114" t="str">
        <f t="shared" si="8"/>
        <v>0-20</v>
      </c>
      <c r="AC27" s="114">
        <f t="shared" si="9"/>
        <v>3844.3574443810608</v>
      </c>
      <c r="AD27" s="129"/>
      <c r="AE27" s="129" t="str">
        <f t="shared" si="24"/>
        <v>0-20</v>
      </c>
      <c r="AF27" s="129">
        <f t="shared" si="25"/>
        <v>3844.3574443810608</v>
      </c>
      <c r="AG27" s="138">
        <v>85</v>
      </c>
      <c r="AH27" s="138" t="str">
        <f t="shared" si="26"/>
        <v>81-110</v>
      </c>
      <c r="AI27" s="138">
        <f t="shared" si="27"/>
        <v>8747.8561594387575</v>
      </c>
      <c r="AJ27" s="36">
        <v>38</v>
      </c>
      <c r="AK27" s="36" t="str">
        <f t="shared" si="31"/>
        <v>31-50</v>
      </c>
      <c r="AL27" s="37">
        <f t="shared" si="32"/>
        <v>5073.1976040297868</v>
      </c>
      <c r="AM27" s="37">
        <v>64</v>
      </c>
      <c r="AN27" s="3" t="str">
        <f t="shared" si="16"/>
        <v>51-80</v>
      </c>
      <c r="AO27" s="119">
        <f t="shared" si="17"/>
        <v>6509</v>
      </c>
      <c r="AP27" s="133">
        <v>64</v>
      </c>
      <c r="AQ27" s="133" t="str">
        <f t="shared" si="18"/>
        <v>51-80</v>
      </c>
      <c r="AR27" s="133">
        <f t="shared" si="19"/>
        <v>6509</v>
      </c>
      <c r="AS27" s="131"/>
      <c r="AT27" s="131"/>
      <c r="AU27" s="41"/>
      <c r="AV27" s="41"/>
      <c r="AW27" s="41"/>
    </row>
    <row r="28" spans="1:50" x14ac:dyDescent="0.25">
      <c r="A28" s="32">
        <v>26</v>
      </c>
      <c r="B28" s="13" t="s">
        <v>21</v>
      </c>
      <c r="C28" s="11" t="s">
        <v>96</v>
      </c>
      <c r="D28" s="10">
        <v>0</v>
      </c>
      <c r="E28" s="11" t="s">
        <v>97</v>
      </c>
      <c r="F28" s="34" t="s">
        <v>98</v>
      </c>
      <c r="G28" s="6" t="s">
        <v>99</v>
      </c>
      <c r="H28" s="33">
        <v>410220</v>
      </c>
      <c r="I28" s="90">
        <v>75</v>
      </c>
      <c r="J28" s="90" t="str">
        <f t="shared" si="28"/>
        <v>51-80</v>
      </c>
      <c r="K28" s="91">
        <f t="shared" si="1"/>
        <v>6509</v>
      </c>
      <c r="L28" s="35">
        <v>59</v>
      </c>
      <c r="M28" s="35" t="str">
        <f t="shared" si="29"/>
        <v>51-80</v>
      </c>
      <c r="N28" s="36">
        <f t="shared" si="30"/>
        <v>6509</v>
      </c>
      <c r="O28" s="51">
        <v>84</v>
      </c>
      <c r="P28" s="51" t="str">
        <f t="shared" si="20"/>
        <v>81-110</v>
      </c>
      <c r="Q28" s="51">
        <f t="shared" si="4"/>
        <v>8747.8561594387575</v>
      </c>
      <c r="R28" s="49">
        <v>50</v>
      </c>
      <c r="S28" s="49" t="str">
        <f t="shared" si="5"/>
        <v>31-50</v>
      </c>
      <c r="T28" s="49">
        <f t="shared" si="6"/>
        <v>5073.1976040297868</v>
      </c>
      <c r="U28" s="50">
        <v>46</v>
      </c>
      <c r="V28" s="50" t="str">
        <f t="shared" si="21"/>
        <v>31-50</v>
      </c>
      <c r="W28" s="50">
        <f t="shared" si="7"/>
        <v>5073.1976040297868</v>
      </c>
      <c r="X28" s="143">
        <v>0</v>
      </c>
      <c r="Y28" s="143" t="str">
        <f t="shared" si="22"/>
        <v>0-20</v>
      </c>
      <c r="Z28" s="143">
        <f t="shared" si="23"/>
        <v>3844.3574443810608</v>
      </c>
      <c r="AA28" s="116"/>
      <c r="AB28" s="114" t="str">
        <f t="shared" si="8"/>
        <v>0-20</v>
      </c>
      <c r="AC28" s="114">
        <f t="shared" si="9"/>
        <v>3844.3574443810608</v>
      </c>
      <c r="AD28" s="129"/>
      <c r="AE28" s="129" t="str">
        <f t="shared" si="24"/>
        <v>0-20</v>
      </c>
      <c r="AF28" s="129">
        <f t="shared" si="25"/>
        <v>3844.3574443810608</v>
      </c>
      <c r="AG28" s="138"/>
      <c r="AH28" s="138" t="str">
        <f t="shared" si="26"/>
        <v>0-20</v>
      </c>
      <c r="AI28" s="138">
        <f t="shared" si="27"/>
        <v>3844.3574443810608</v>
      </c>
      <c r="AJ28" s="36">
        <v>44</v>
      </c>
      <c r="AK28" s="36" t="str">
        <f t="shared" si="31"/>
        <v>31-50</v>
      </c>
      <c r="AL28" s="37">
        <f t="shared" si="32"/>
        <v>5073.1976040297868</v>
      </c>
      <c r="AM28" s="80">
        <v>37</v>
      </c>
      <c r="AN28" s="81" t="str">
        <f t="shared" si="16"/>
        <v>31-50</v>
      </c>
      <c r="AO28" s="120">
        <f t="shared" si="17"/>
        <v>5073.1976040297868</v>
      </c>
      <c r="AP28" s="133"/>
      <c r="AQ28" s="133" t="str">
        <f t="shared" si="18"/>
        <v>0-20</v>
      </c>
      <c r="AR28" s="133">
        <f t="shared" si="19"/>
        <v>3844.3574443810608</v>
      </c>
      <c r="AS28" s="131"/>
      <c r="AT28" s="131"/>
      <c r="AU28" s="41"/>
      <c r="AV28" s="41"/>
      <c r="AW28" s="41"/>
    </row>
    <row r="29" spans="1:50" x14ac:dyDescent="0.25">
      <c r="A29" s="32">
        <v>27</v>
      </c>
      <c r="B29" s="13" t="s">
        <v>21</v>
      </c>
      <c r="C29" s="11" t="s">
        <v>100</v>
      </c>
      <c r="D29" s="10" t="s">
        <v>921</v>
      </c>
      <c r="E29" s="11" t="s">
        <v>101</v>
      </c>
      <c r="F29" s="34" t="s">
        <v>102</v>
      </c>
      <c r="G29" s="6" t="s">
        <v>103</v>
      </c>
      <c r="H29" s="33">
        <v>401203</v>
      </c>
      <c r="I29" s="90">
        <v>151</v>
      </c>
      <c r="J29" s="90" t="str">
        <f t="shared" si="28"/>
        <v>110-130</v>
      </c>
      <c r="K29" s="91">
        <f t="shared" si="1"/>
        <v>10159.810450732197</v>
      </c>
      <c r="L29" s="35">
        <v>46</v>
      </c>
      <c r="M29" s="35" t="str">
        <f t="shared" si="29"/>
        <v>31-50</v>
      </c>
      <c r="N29" s="36">
        <f t="shared" si="30"/>
        <v>5073.1976040297868</v>
      </c>
      <c r="O29" s="51">
        <v>13</v>
      </c>
      <c r="P29" s="51" t="str">
        <f t="shared" si="20"/>
        <v>0-20</v>
      </c>
      <c r="Q29" s="51">
        <f t="shared" si="4"/>
        <v>3844.3574443810608</v>
      </c>
      <c r="R29" s="49">
        <v>52</v>
      </c>
      <c r="S29" s="49" t="str">
        <f t="shared" si="5"/>
        <v>51-80</v>
      </c>
      <c r="T29" s="49">
        <f t="shared" si="6"/>
        <v>6509</v>
      </c>
      <c r="U29" s="50">
        <v>67</v>
      </c>
      <c r="V29" s="50" t="str">
        <f t="shared" si="21"/>
        <v>51-80</v>
      </c>
      <c r="W29" s="50">
        <f t="shared" si="7"/>
        <v>6509</v>
      </c>
      <c r="X29" s="143">
        <v>0</v>
      </c>
      <c r="Y29" s="143" t="str">
        <f t="shared" si="22"/>
        <v>0-20</v>
      </c>
      <c r="Z29" s="143">
        <f t="shared" si="23"/>
        <v>3844.3574443810608</v>
      </c>
      <c r="AA29" s="116">
        <v>46</v>
      </c>
      <c r="AB29" s="114" t="str">
        <f t="shared" si="8"/>
        <v>31-50</v>
      </c>
      <c r="AC29" s="114">
        <f t="shared" si="9"/>
        <v>5073.1976040297868</v>
      </c>
      <c r="AD29" s="129"/>
      <c r="AE29" s="129" t="str">
        <f t="shared" si="24"/>
        <v>0-20</v>
      </c>
      <c r="AF29" s="129">
        <f t="shared" si="25"/>
        <v>3844.3574443810608</v>
      </c>
      <c r="AG29" s="138">
        <v>59</v>
      </c>
      <c r="AH29" s="138" t="str">
        <f t="shared" si="26"/>
        <v>51-80</v>
      </c>
      <c r="AI29" s="138">
        <f t="shared" si="27"/>
        <v>6509</v>
      </c>
      <c r="AJ29" s="36">
        <v>70</v>
      </c>
      <c r="AK29" s="36" t="str">
        <f t="shared" si="31"/>
        <v>51-80</v>
      </c>
      <c r="AL29" s="37">
        <f t="shared" si="32"/>
        <v>6509</v>
      </c>
      <c r="AM29" s="37"/>
      <c r="AN29" s="3" t="str">
        <f t="shared" si="16"/>
        <v>0-20</v>
      </c>
      <c r="AO29" s="119">
        <f t="shared" si="17"/>
        <v>3844.3574443810608</v>
      </c>
      <c r="AP29" s="133">
        <v>69</v>
      </c>
      <c r="AQ29" s="133" t="str">
        <f t="shared" si="18"/>
        <v>51-80</v>
      </c>
      <c r="AR29" s="133">
        <f t="shared" si="19"/>
        <v>6509</v>
      </c>
      <c r="AS29" s="131"/>
      <c r="AT29" s="131"/>
      <c r="AU29" s="41"/>
      <c r="AV29" s="41"/>
      <c r="AW29" s="41"/>
    </row>
    <row r="30" spans="1:50" x14ac:dyDescent="0.25">
      <c r="A30" s="32">
        <v>28</v>
      </c>
      <c r="B30" s="13" t="s">
        <v>21</v>
      </c>
      <c r="C30" s="11" t="s">
        <v>104</v>
      </c>
      <c r="D30" s="10">
        <v>0</v>
      </c>
      <c r="E30" s="11" t="s">
        <v>105</v>
      </c>
      <c r="F30" s="34" t="s">
        <v>106</v>
      </c>
      <c r="G30" s="6" t="s">
        <v>107</v>
      </c>
      <c r="H30" s="33">
        <v>401202</v>
      </c>
      <c r="I30" s="90">
        <v>146</v>
      </c>
      <c r="J30" s="90" t="str">
        <f t="shared" si="28"/>
        <v>110-130</v>
      </c>
      <c r="K30" s="91">
        <f t="shared" si="1"/>
        <v>10159.810450732197</v>
      </c>
      <c r="L30" s="35">
        <v>41</v>
      </c>
      <c r="M30" s="35" t="str">
        <f t="shared" si="29"/>
        <v>31-50</v>
      </c>
      <c r="N30" s="36">
        <f t="shared" si="30"/>
        <v>5073.1976040297868</v>
      </c>
      <c r="O30" s="51">
        <v>14</v>
      </c>
      <c r="P30" s="51" t="str">
        <f t="shared" si="20"/>
        <v>0-20</v>
      </c>
      <c r="Q30" s="51">
        <f t="shared" si="4"/>
        <v>3844.3574443810608</v>
      </c>
      <c r="R30" s="49">
        <v>53</v>
      </c>
      <c r="S30" s="49" t="str">
        <f t="shared" si="5"/>
        <v>51-80</v>
      </c>
      <c r="T30" s="49">
        <f t="shared" si="6"/>
        <v>6509</v>
      </c>
      <c r="U30" s="50">
        <v>52</v>
      </c>
      <c r="V30" s="50" t="str">
        <f t="shared" si="21"/>
        <v>51-80</v>
      </c>
      <c r="W30" s="50">
        <f t="shared" si="7"/>
        <v>6509</v>
      </c>
      <c r="X30" s="143">
        <v>0</v>
      </c>
      <c r="Y30" s="143" t="str">
        <f t="shared" si="22"/>
        <v>0-20</v>
      </c>
      <c r="Z30" s="143">
        <f t="shared" si="23"/>
        <v>3844.3574443810608</v>
      </c>
      <c r="AA30" s="116"/>
      <c r="AB30" s="114" t="str">
        <f t="shared" si="8"/>
        <v>0-20</v>
      </c>
      <c r="AC30" s="114">
        <f t="shared" si="9"/>
        <v>3844.3574443810608</v>
      </c>
      <c r="AD30" s="129"/>
      <c r="AE30" s="129" t="str">
        <f t="shared" si="24"/>
        <v>0-20</v>
      </c>
      <c r="AF30" s="129">
        <f t="shared" si="25"/>
        <v>3844.3574443810608</v>
      </c>
      <c r="AG30" s="138">
        <v>60</v>
      </c>
      <c r="AH30" s="138" t="str">
        <f t="shared" si="26"/>
        <v>51-80</v>
      </c>
      <c r="AI30" s="138">
        <f t="shared" si="27"/>
        <v>6509</v>
      </c>
      <c r="AJ30" s="36">
        <v>64</v>
      </c>
      <c r="AK30" s="36" t="str">
        <f t="shared" si="31"/>
        <v>51-80</v>
      </c>
      <c r="AL30" s="37">
        <f t="shared" si="32"/>
        <v>6509</v>
      </c>
      <c r="AM30" s="37"/>
      <c r="AN30" s="3" t="str">
        <f t="shared" si="16"/>
        <v>0-20</v>
      </c>
      <c r="AO30" s="119">
        <f t="shared" si="17"/>
        <v>3844.3574443810608</v>
      </c>
      <c r="AP30" s="133"/>
      <c r="AQ30" s="133" t="str">
        <f t="shared" si="18"/>
        <v>0-20</v>
      </c>
      <c r="AR30" s="133">
        <f t="shared" si="19"/>
        <v>3844.3574443810608</v>
      </c>
      <c r="AS30" s="131"/>
      <c r="AT30" s="131"/>
      <c r="AU30" s="41"/>
      <c r="AV30" s="41"/>
      <c r="AW30" s="41"/>
    </row>
    <row r="31" spans="1:50" x14ac:dyDescent="0.25">
      <c r="A31" s="32">
        <v>29</v>
      </c>
      <c r="B31" s="13" t="s">
        <v>21</v>
      </c>
      <c r="C31" s="11" t="s">
        <v>108</v>
      </c>
      <c r="D31" s="10" t="s">
        <v>922</v>
      </c>
      <c r="E31" s="11" t="s">
        <v>109</v>
      </c>
      <c r="F31" s="34" t="s">
        <v>110</v>
      </c>
      <c r="G31" s="6" t="s">
        <v>111</v>
      </c>
      <c r="H31" s="33">
        <v>400710</v>
      </c>
      <c r="I31" s="90">
        <v>95</v>
      </c>
      <c r="J31" s="90" t="str">
        <f t="shared" si="28"/>
        <v>81-110</v>
      </c>
      <c r="K31" s="91">
        <f t="shared" si="1"/>
        <v>8747.8561594387575</v>
      </c>
      <c r="L31" s="99">
        <v>31</v>
      </c>
      <c r="M31" s="99" t="str">
        <f t="shared" si="29"/>
        <v>31-50</v>
      </c>
      <c r="N31" s="100">
        <f t="shared" si="30"/>
        <v>5073.1976040297868</v>
      </c>
      <c r="O31" s="51">
        <v>66</v>
      </c>
      <c r="P31" s="51" t="str">
        <f t="shared" si="20"/>
        <v>51-80</v>
      </c>
      <c r="Q31" s="51">
        <f t="shared" si="4"/>
        <v>6509</v>
      </c>
      <c r="R31" s="49">
        <v>35</v>
      </c>
      <c r="S31" s="49" t="str">
        <f t="shared" si="5"/>
        <v>31-50</v>
      </c>
      <c r="T31" s="49">
        <f t="shared" si="6"/>
        <v>5073.1976040297868</v>
      </c>
      <c r="U31" s="50">
        <v>28</v>
      </c>
      <c r="V31" s="50" t="str">
        <f t="shared" si="21"/>
        <v>21-30</v>
      </c>
      <c r="W31" s="50">
        <f t="shared" si="7"/>
        <v>4508.6394748902885</v>
      </c>
      <c r="X31" s="143">
        <v>0</v>
      </c>
      <c r="Y31" s="143" t="str">
        <f t="shared" si="22"/>
        <v>0-20</v>
      </c>
      <c r="Z31" s="143">
        <f t="shared" si="23"/>
        <v>3844.3574443810608</v>
      </c>
      <c r="AA31" s="116"/>
      <c r="AB31" s="114" t="str">
        <f t="shared" si="8"/>
        <v>0-20</v>
      </c>
      <c r="AC31" s="114">
        <f t="shared" si="9"/>
        <v>3844.3574443810608</v>
      </c>
      <c r="AD31" s="129"/>
      <c r="AE31" s="129" t="str">
        <f t="shared" si="24"/>
        <v>0-20</v>
      </c>
      <c r="AF31" s="129">
        <f t="shared" si="25"/>
        <v>3844.3574443810608</v>
      </c>
      <c r="AG31" s="138">
        <v>113</v>
      </c>
      <c r="AH31" s="138" t="str">
        <f t="shared" si="26"/>
        <v>110-130</v>
      </c>
      <c r="AI31" s="138">
        <f t="shared" si="27"/>
        <v>10159.810450732197</v>
      </c>
      <c r="AJ31" s="36">
        <v>29</v>
      </c>
      <c r="AK31" s="36" t="str">
        <f t="shared" si="31"/>
        <v>21-30</v>
      </c>
      <c r="AL31" s="37">
        <f t="shared" si="32"/>
        <v>4508.6394748902885</v>
      </c>
      <c r="AM31" s="80">
        <v>40</v>
      </c>
      <c r="AN31" s="81" t="str">
        <f t="shared" si="16"/>
        <v>31-50</v>
      </c>
      <c r="AO31" s="120">
        <f t="shared" si="17"/>
        <v>5073.1976040297868</v>
      </c>
      <c r="AP31" s="133">
        <v>104</v>
      </c>
      <c r="AQ31" s="133" t="str">
        <f t="shared" si="18"/>
        <v>81-110</v>
      </c>
      <c r="AR31" s="133">
        <f t="shared" si="19"/>
        <v>8747.8561594387575</v>
      </c>
      <c r="AS31" s="131"/>
      <c r="AT31" s="131"/>
      <c r="AU31" s="41"/>
      <c r="AV31" s="41"/>
      <c r="AW31" s="41"/>
    </row>
    <row r="32" spans="1:50" x14ac:dyDescent="0.25">
      <c r="A32" s="32">
        <v>30</v>
      </c>
      <c r="B32" s="13" t="s">
        <v>21</v>
      </c>
      <c r="C32" s="11" t="s">
        <v>112</v>
      </c>
      <c r="D32" s="10" t="s">
        <v>923</v>
      </c>
      <c r="E32" s="11" t="s">
        <v>113</v>
      </c>
      <c r="F32" s="34" t="s">
        <v>1306</v>
      </c>
      <c r="G32" s="6" t="s">
        <v>114</v>
      </c>
      <c r="H32" s="33">
        <v>401203</v>
      </c>
      <c r="I32" s="90">
        <v>151</v>
      </c>
      <c r="J32" s="90" t="str">
        <f t="shared" si="28"/>
        <v>110-130</v>
      </c>
      <c r="K32" s="91">
        <f t="shared" si="1"/>
        <v>10159.810450732197</v>
      </c>
      <c r="L32" s="35">
        <v>46</v>
      </c>
      <c r="M32" s="35" t="str">
        <f t="shared" si="29"/>
        <v>31-50</v>
      </c>
      <c r="N32" s="36">
        <f t="shared" si="30"/>
        <v>5073.1976040297868</v>
      </c>
      <c r="O32" s="51">
        <v>20</v>
      </c>
      <c r="P32" s="51" t="str">
        <f t="shared" si="20"/>
        <v>0-20</v>
      </c>
      <c r="Q32" s="51">
        <f t="shared" si="4"/>
        <v>3844.3574443810608</v>
      </c>
      <c r="R32" s="49">
        <v>53</v>
      </c>
      <c r="S32" s="49" t="str">
        <f t="shared" si="5"/>
        <v>51-80</v>
      </c>
      <c r="T32" s="49">
        <f t="shared" si="6"/>
        <v>6509</v>
      </c>
      <c r="U32" s="50">
        <v>57</v>
      </c>
      <c r="V32" s="50" t="str">
        <f t="shared" si="21"/>
        <v>51-80</v>
      </c>
      <c r="W32" s="50">
        <f t="shared" si="7"/>
        <v>6509</v>
      </c>
      <c r="X32" s="143">
        <v>0</v>
      </c>
      <c r="Y32" s="143" t="str">
        <f t="shared" si="22"/>
        <v>0-20</v>
      </c>
      <c r="Z32" s="143">
        <f t="shared" si="23"/>
        <v>3844.3574443810608</v>
      </c>
      <c r="AA32" s="116">
        <v>47</v>
      </c>
      <c r="AB32" s="114" t="str">
        <f t="shared" si="8"/>
        <v>31-50</v>
      </c>
      <c r="AC32" s="114">
        <f t="shared" si="9"/>
        <v>5073.1976040297868</v>
      </c>
      <c r="AD32" s="129">
        <v>48</v>
      </c>
      <c r="AE32" s="129" t="str">
        <f t="shared" ref="AE32" si="33">VLOOKUP(AD32,$AV$4:$AW$9,2,1)</f>
        <v>31-50</v>
      </c>
      <c r="AF32" s="129">
        <f t="shared" ref="AF32" si="34">VLOOKUP(AE32,$AW$3:$AX$9,2,0)</f>
        <v>5073.1976040297868</v>
      </c>
      <c r="AG32" s="138">
        <v>59</v>
      </c>
      <c r="AH32" s="138" t="str">
        <f t="shared" si="26"/>
        <v>51-80</v>
      </c>
      <c r="AI32" s="138">
        <f t="shared" si="27"/>
        <v>6509</v>
      </c>
      <c r="AJ32" s="36">
        <v>70</v>
      </c>
      <c r="AK32" s="36" t="str">
        <f t="shared" si="31"/>
        <v>51-80</v>
      </c>
      <c r="AL32" s="37">
        <f t="shared" si="32"/>
        <v>6509</v>
      </c>
      <c r="AM32" s="37"/>
      <c r="AN32" s="3" t="str">
        <f t="shared" si="16"/>
        <v>0-20</v>
      </c>
      <c r="AO32" s="119">
        <f t="shared" si="17"/>
        <v>3844.3574443810608</v>
      </c>
      <c r="AP32" s="133">
        <v>77</v>
      </c>
      <c r="AQ32" s="133" t="str">
        <f t="shared" si="18"/>
        <v>51-80</v>
      </c>
      <c r="AR32" s="133">
        <f t="shared" si="19"/>
        <v>6509</v>
      </c>
      <c r="AS32" s="131"/>
      <c r="AT32" s="131"/>
      <c r="AU32" s="41"/>
      <c r="AV32" s="41"/>
      <c r="AW32" s="41"/>
    </row>
    <row r="33" spans="1:49" x14ac:dyDescent="0.25">
      <c r="A33" s="32"/>
      <c r="B33" s="13"/>
      <c r="C33" s="11"/>
      <c r="D33" s="10" t="s">
        <v>1355</v>
      </c>
      <c r="E33" s="11" t="s">
        <v>1354</v>
      </c>
      <c r="F33" s="34" t="s">
        <v>1357</v>
      </c>
      <c r="G33" s="6" t="s">
        <v>1356</v>
      </c>
      <c r="H33" s="33">
        <v>400709</v>
      </c>
      <c r="I33" s="90">
        <v>85</v>
      </c>
      <c r="J33" s="90" t="str">
        <f t="shared" si="28"/>
        <v>81-110</v>
      </c>
      <c r="K33" s="91">
        <f t="shared" si="1"/>
        <v>8747.8561594387575</v>
      </c>
      <c r="L33" s="35">
        <v>18</v>
      </c>
      <c r="M33" s="35" t="str">
        <f t="shared" si="29"/>
        <v>0-20</v>
      </c>
      <c r="N33" s="36">
        <f t="shared" si="30"/>
        <v>3844.3574443810608</v>
      </c>
      <c r="O33" s="51">
        <v>51</v>
      </c>
      <c r="P33" s="51" t="str">
        <f t="shared" si="20"/>
        <v>51-80</v>
      </c>
      <c r="Q33" s="51">
        <f t="shared" si="4"/>
        <v>6509</v>
      </c>
      <c r="R33" s="49">
        <v>28</v>
      </c>
      <c r="S33" s="49" t="str">
        <f t="shared" si="5"/>
        <v>21-30</v>
      </c>
      <c r="T33" s="49">
        <f t="shared" si="6"/>
        <v>4508.6394748902885</v>
      </c>
      <c r="U33" s="50">
        <v>18</v>
      </c>
      <c r="V33" s="50" t="str">
        <f t="shared" si="21"/>
        <v>0-20</v>
      </c>
      <c r="W33" s="50">
        <f t="shared" si="7"/>
        <v>3844.3574443810608</v>
      </c>
      <c r="X33" s="143">
        <v>0</v>
      </c>
      <c r="Y33" s="143" t="str">
        <f t="shared" si="22"/>
        <v>0-20</v>
      </c>
      <c r="Z33" s="143">
        <f t="shared" si="23"/>
        <v>3844.3574443810608</v>
      </c>
      <c r="AA33" s="116">
        <v>33</v>
      </c>
      <c r="AB33" s="114" t="str">
        <f t="shared" ref="AB33" si="35">VLOOKUP(AA33,$AV$4:$AW$9,2,1)</f>
        <v>31-50</v>
      </c>
      <c r="AC33" s="114">
        <f t="shared" ref="AC33" si="36">VLOOKUP(AB33,$AW$3:$AX$9,2,0)</f>
        <v>5073.1976040297868</v>
      </c>
      <c r="AD33" s="129">
        <v>30</v>
      </c>
      <c r="AE33" s="129" t="str">
        <f t="shared" ref="AE33" si="37">VLOOKUP(AD33,$AV$4:$AW$9,2,1)</f>
        <v>21-30</v>
      </c>
      <c r="AF33" s="129">
        <f t="shared" ref="AF33" si="38">VLOOKUP(AE33,$AW$3:$AX$9,2,0)</f>
        <v>4508.6394748902885</v>
      </c>
      <c r="AG33" s="138">
        <v>99</v>
      </c>
      <c r="AH33" s="138" t="str">
        <f t="shared" si="26"/>
        <v>81-110</v>
      </c>
      <c r="AI33" s="138">
        <f t="shared" si="27"/>
        <v>8747.8561594387575</v>
      </c>
      <c r="AJ33" s="36"/>
      <c r="AK33" s="36"/>
      <c r="AL33" s="37"/>
      <c r="AM33" s="37"/>
      <c r="AN33" s="3"/>
      <c r="AO33" s="119"/>
      <c r="AP33" s="133"/>
      <c r="AQ33" s="133"/>
      <c r="AR33" s="133"/>
      <c r="AS33" s="131"/>
      <c r="AT33" s="131"/>
      <c r="AU33" s="41"/>
      <c r="AV33" s="41"/>
      <c r="AW33" s="41"/>
    </row>
    <row r="34" spans="1:49" x14ac:dyDescent="0.25">
      <c r="A34" s="32">
        <v>31</v>
      </c>
      <c r="B34" s="13" t="s">
        <v>21</v>
      </c>
      <c r="C34" s="11" t="s">
        <v>115</v>
      </c>
      <c r="D34" s="10">
        <v>0</v>
      </c>
      <c r="E34" s="11" t="s">
        <v>116</v>
      </c>
      <c r="F34" s="34" t="s">
        <v>117</v>
      </c>
      <c r="G34" s="6" t="s">
        <v>50</v>
      </c>
      <c r="H34" s="33">
        <v>401107</v>
      </c>
      <c r="I34" s="90">
        <v>127</v>
      </c>
      <c r="J34" s="90" t="str">
        <f t="shared" si="28"/>
        <v>110-130</v>
      </c>
      <c r="K34" s="91">
        <f t="shared" si="1"/>
        <v>10159.810450732197</v>
      </c>
      <c r="L34" s="35">
        <v>23</v>
      </c>
      <c r="M34" s="35" t="str">
        <f t="shared" si="29"/>
        <v>21-30</v>
      </c>
      <c r="N34" s="36">
        <f t="shared" si="30"/>
        <v>4508.6394748902885</v>
      </c>
      <c r="O34" s="51">
        <v>30</v>
      </c>
      <c r="P34" s="51" t="str">
        <f t="shared" si="20"/>
        <v>21-30</v>
      </c>
      <c r="Q34" s="51">
        <f t="shared" si="4"/>
        <v>4508.6394748902885</v>
      </c>
      <c r="R34" s="49">
        <v>23</v>
      </c>
      <c r="S34" s="49" t="str">
        <f t="shared" si="5"/>
        <v>21-30</v>
      </c>
      <c r="T34" s="49">
        <f t="shared" si="6"/>
        <v>4508.6394748902885</v>
      </c>
      <c r="U34" s="50">
        <v>32</v>
      </c>
      <c r="V34" s="50" t="str">
        <f t="shared" si="21"/>
        <v>31-50</v>
      </c>
      <c r="W34" s="50">
        <f t="shared" si="7"/>
        <v>5073.1976040297868</v>
      </c>
      <c r="X34" s="143">
        <v>0</v>
      </c>
      <c r="Y34" s="143" t="str">
        <f t="shared" si="22"/>
        <v>0-20</v>
      </c>
      <c r="Z34" s="143">
        <f t="shared" si="23"/>
        <v>3844.3574443810608</v>
      </c>
      <c r="AA34" s="116"/>
      <c r="AB34" s="114" t="str">
        <f t="shared" si="8"/>
        <v>0-20</v>
      </c>
      <c r="AC34" s="114">
        <f t="shared" si="9"/>
        <v>3844.3574443810608</v>
      </c>
      <c r="AD34" s="129"/>
      <c r="AE34" s="129" t="str">
        <f t="shared" ref="AE34:AE52" si="39">VLOOKUP(AD34,$AV$4:$AW$9,2,1)</f>
        <v>0-20</v>
      </c>
      <c r="AF34" s="129">
        <f t="shared" ref="AF34:AF52" si="40">VLOOKUP(AE34,$AW$3:$AX$9,2,0)</f>
        <v>3844.3574443810608</v>
      </c>
      <c r="AG34" s="138">
        <v>72</v>
      </c>
      <c r="AH34" s="138" t="str">
        <f t="shared" ref="AH34:AH92" si="41">VLOOKUP(AG34,$AV$4:$AW$9,2,1)</f>
        <v>51-80</v>
      </c>
      <c r="AI34" s="138">
        <f t="shared" ref="AI34:AI92" si="42">VLOOKUP(AH34,$AW$3:$AX$9,2,0)</f>
        <v>6509</v>
      </c>
      <c r="AJ34" s="36">
        <v>42</v>
      </c>
      <c r="AK34" s="36" t="str">
        <f t="shared" si="31"/>
        <v>31-50</v>
      </c>
      <c r="AL34" s="37">
        <f t="shared" si="32"/>
        <v>5073.1976040297868</v>
      </c>
      <c r="AM34" s="37"/>
      <c r="AN34" s="3" t="str">
        <f t="shared" si="16"/>
        <v>0-20</v>
      </c>
      <c r="AO34" s="119">
        <f t="shared" si="17"/>
        <v>3844.3574443810608</v>
      </c>
      <c r="AP34" s="133"/>
      <c r="AQ34" s="133" t="str">
        <f t="shared" si="18"/>
        <v>0-20</v>
      </c>
      <c r="AR34" s="133">
        <f t="shared" si="19"/>
        <v>3844.3574443810608</v>
      </c>
      <c r="AS34" s="131"/>
      <c r="AT34" s="131"/>
      <c r="AU34" s="41"/>
      <c r="AV34" s="41"/>
      <c r="AW34" s="41"/>
    </row>
    <row r="35" spans="1:49" x14ac:dyDescent="0.25">
      <c r="A35" s="32">
        <v>32</v>
      </c>
      <c r="B35" s="13" t="s">
        <v>21</v>
      </c>
      <c r="C35" s="11" t="s">
        <v>118</v>
      </c>
      <c r="D35" s="10">
        <v>0</v>
      </c>
      <c r="E35" s="11" t="s">
        <v>119</v>
      </c>
      <c r="F35" s="34" t="s">
        <v>725</v>
      </c>
      <c r="G35" s="6" t="s">
        <v>111</v>
      </c>
      <c r="H35" s="33">
        <v>410210</v>
      </c>
      <c r="I35" s="90">
        <v>84</v>
      </c>
      <c r="J35" s="90" t="str">
        <f t="shared" si="28"/>
        <v>81-110</v>
      </c>
      <c r="K35" s="91">
        <f t="shared" si="1"/>
        <v>8747.8561594387575</v>
      </c>
      <c r="L35" s="35">
        <v>32</v>
      </c>
      <c r="M35" s="35" t="str">
        <f t="shared" si="29"/>
        <v>31-50</v>
      </c>
      <c r="N35" s="36">
        <f t="shared" si="30"/>
        <v>5073.1976040297868</v>
      </c>
      <c r="O35" s="51">
        <v>68</v>
      </c>
      <c r="P35" s="51" t="str">
        <f t="shared" si="20"/>
        <v>51-80</v>
      </c>
      <c r="Q35" s="51">
        <f t="shared" si="4"/>
        <v>6509</v>
      </c>
      <c r="R35" s="49">
        <v>35</v>
      </c>
      <c r="S35" s="49" t="str">
        <f t="shared" si="5"/>
        <v>31-50</v>
      </c>
      <c r="T35" s="49">
        <f t="shared" si="6"/>
        <v>5073.1976040297868</v>
      </c>
      <c r="U35" s="50">
        <v>30</v>
      </c>
      <c r="V35" s="50" t="str">
        <f t="shared" si="21"/>
        <v>21-30</v>
      </c>
      <c r="W35" s="50">
        <f t="shared" si="7"/>
        <v>4508.6394748902885</v>
      </c>
      <c r="X35" s="143">
        <v>0</v>
      </c>
      <c r="Y35" s="143" t="str">
        <f t="shared" si="22"/>
        <v>0-20</v>
      </c>
      <c r="Z35" s="143">
        <f t="shared" si="23"/>
        <v>3844.3574443810608</v>
      </c>
      <c r="AA35" s="116"/>
      <c r="AB35" s="114" t="str">
        <f t="shared" si="8"/>
        <v>0-20</v>
      </c>
      <c r="AC35" s="114">
        <f t="shared" si="9"/>
        <v>3844.3574443810608</v>
      </c>
      <c r="AD35" s="129"/>
      <c r="AE35" s="129" t="str">
        <f t="shared" si="39"/>
        <v>0-20</v>
      </c>
      <c r="AF35" s="129">
        <f t="shared" si="40"/>
        <v>3844.3574443810608</v>
      </c>
      <c r="AG35" s="138"/>
      <c r="AH35" s="138" t="str">
        <f t="shared" si="41"/>
        <v>0-20</v>
      </c>
      <c r="AI35" s="138">
        <f t="shared" si="42"/>
        <v>3844.3574443810608</v>
      </c>
      <c r="AJ35" s="36">
        <v>29</v>
      </c>
      <c r="AK35" s="36" t="str">
        <f t="shared" si="31"/>
        <v>21-30</v>
      </c>
      <c r="AL35" s="37">
        <f t="shared" si="32"/>
        <v>4508.6394748902885</v>
      </c>
      <c r="AM35" s="80">
        <v>38</v>
      </c>
      <c r="AN35" s="81" t="str">
        <f t="shared" si="16"/>
        <v>31-50</v>
      </c>
      <c r="AO35" s="120">
        <f t="shared" si="17"/>
        <v>5073.1976040297868</v>
      </c>
      <c r="AP35" s="133"/>
      <c r="AQ35" s="133" t="str">
        <f t="shared" si="18"/>
        <v>0-20</v>
      </c>
      <c r="AR35" s="133">
        <f t="shared" si="19"/>
        <v>3844.3574443810608</v>
      </c>
      <c r="AS35" s="131"/>
      <c r="AT35" s="131"/>
      <c r="AU35" s="41"/>
      <c r="AV35" s="41"/>
      <c r="AW35" s="41"/>
    </row>
    <row r="36" spans="1:49" x14ac:dyDescent="0.25">
      <c r="A36" s="32">
        <v>33</v>
      </c>
      <c r="B36" s="13" t="s">
        <v>21</v>
      </c>
      <c r="C36" s="11" t="s">
        <v>120</v>
      </c>
      <c r="D36" s="10">
        <v>0</v>
      </c>
      <c r="E36" s="11" t="s">
        <v>121</v>
      </c>
      <c r="F36" s="34" t="s">
        <v>122</v>
      </c>
      <c r="G36" s="6" t="s">
        <v>123</v>
      </c>
      <c r="H36" s="33">
        <v>421302</v>
      </c>
      <c r="I36" s="90">
        <v>163</v>
      </c>
      <c r="J36" s="90" t="str">
        <f t="shared" si="28"/>
        <v>110-130</v>
      </c>
      <c r="K36" s="91">
        <f t="shared" si="1"/>
        <v>10159.810450732197</v>
      </c>
      <c r="L36" s="35">
        <v>26</v>
      </c>
      <c r="M36" s="35" t="str">
        <f t="shared" si="29"/>
        <v>21-30</v>
      </c>
      <c r="N36" s="36">
        <f t="shared" si="30"/>
        <v>4508.6394748902885</v>
      </c>
      <c r="O36" s="51">
        <v>20.399999999999999</v>
      </c>
      <c r="P36" s="51" t="str">
        <f t="shared" si="20"/>
        <v>0-20</v>
      </c>
      <c r="Q36" s="51">
        <f t="shared" si="4"/>
        <v>3844.3574443810608</v>
      </c>
      <c r="R36" s="49">
        <v>62</v>
      </c>
      <c r="S36" s="49" t="str">
        <f t="shared" si="5"/>
        <v>51-80</v>
      </c>
      <c r="T36" s="49">
        <f t="shared" si="6"/>
        <v>6509</v>
      </c>
      <c r="U36" s="50">
        <v>65</v>
      </c>
      <c r="V36" s="50" t="str">
        <f t="shared" si="21"/>
        <v>51-80</v>
      </c>
      <c r="W36" s="50">
        <f t="shared" si="7"/>
        <v>6509</v>
      </c>
      <c r="X36" s="143">
        <v>0</v>
      </c>
      <c r="Y36" s="143" t="str">
        <f t="shared" si="22"/>
        <v>0-20</v>
      </c>
      <c r="Z36" s="143">
        <f t="shared" si="23"/>
        <v>3844.3574443810608</v>
      </c>
      <c r="AA36" s="116"/>
      <c r="AB36" s="114" t="str">
        <f t="shared" si="8"/>
        <v>0-20</v>
      </c>
      <c r="AC36" s="114">
        <f t="shared" si="9"/>
        <v>3844.3574443810608</v>
      </c>
      <c r="AD36" s="129"/>
      <c r="AE36" s="129" t="str">
        <f t="shared" si="39"/>
        <v>0-20</v>
      </c>
      <c r="AF36" s="129">
        <f t="shared" si="40"/>
        <v>3844.3574443810608</v>
      </c>
      <c r="AG36" s="138">
        <v>75</v>
      </c>
      <c r="AH36" s="138" t="str">
        <f t="shared" si="41"/>
        <v>51-80</v>
      </c>
      <c r="AI36" s="138">
        <f t="shared" si="42"/>
        <v>6509</v>
      </c>
      <c r="AJ36" s="36">
        <v>72</v>
      </c>
      <c r="AK36" s="36" t="str">
        <f t="shared" si="31"/>
        <v>51-80</v>
      </c>
      <c r="AL36" s="37">
        <f t="shared" si="32"/>
        <v>6509</v>
      </c>
      <c r="AM36" s="37">
        <v>106</v>
      </c>
      <c r="AN36" s="3" t="str">
        <f t="shared" ref="AN36:AN67" si="43">VLOOKUP(AM36,$AV$4:$AW$9,2,1)</f>
        <v>81-110</v>
      </c>
      <c r="AO36" s="119">
        <f t="shared" ref="AO36:AO67" si="44">VLOOKUP(AN36,$AW$3:$AX$9,2,0)</f>
        <v>8747.8561594387575</v>
      </c>
      <c r="AP36" s="133"/>
      <c r="AQ36" s="133" t="str">
        <f t="shared" si="18"/>
        <v>0-20</v>
      </c>
      <c r="AR36" s="133">
        <f t="shared" si="19"/>
        <v>3844.3574443810608</v>
      </c>
      <c r="AS36" s="131"/>
      <c r="AT36" s="131"/>
      <c r="AU36" s="41"/>
      <c r="AV36" s="41"/>
      <c r="AW36" s="41"/>
    </row>
    <row r="37" spans="1:49" x14ac:dyDescent="0.25">
      <c r="A37" s="32">
        <v>34</v>
      </c>
      <c r="B37" s="13" t="s">
        <v>21</v>
      </c>
      <c r="C37" s="11" t="s">
        <v>506</v>
      </c>
      <c r="D37" s="10">
        <v>0</v>
      </c>
      <c r="E37" s="11" t="s">
        <v>507</v>
      </c>
      <c r="F37" s="34" t="s">
        <v>526</v>
      </c>
      <c r="G37" s="6" t="s">
        <v>527</v>
      </c>
      <c r="H37" s="33">
        <v>400612</v>
      </c>
      <c r="I37" s="90">
        <v>102</v>
      </c>
      <c r="J37" s="90" t="str">
        <f>VLOOKUP(I37,'[1]M2 Trip Matrix'!$AB$3:$AC$8,2,1)</f>
        <v>81-110</v>
      </c>
      <c r="K37" s="91">
        <f>VLOOKUP(J37,'[1]M2 Trip Matrix'!$AC$2:$AD$8,2,0)</f>
        <v>8454</v>
      </c>
      <c r="L37" s="35">
        <v>9</v>
      </c>
      <c r="M37" s="35" t="str">
        <f t="shared" si="29"/>
        <v>0-20</v>
      </c>
      <c r="N37" s="36">
        <f t="shared" si="30"/>
        <v>3844.3574443810608</v>
      </c>
      <c r="O37" s="51">
        <v>47</v>
      </c>
      <c r="P37" s="51" t="str">
        <f t="shared" si="20"/>
        <v>31-50</v>
      </c>
      <c r="Q37" s="51">
        <f t="shared" si="4"/>
        <v>5073.1976040297868</v>
      </c>
      <c r="R37" s="49">
        <v>23</v>
      </c>
      <c r="S37" s="49" t="str">
        <f t="shared" si="5"/>
        <v>21-30</v>
      </c>
      <c r="T37" s="49">
        <f t="shared" si="6"/>
        <v>4508.6394748902885</v>
      </c>
      <c r="U37" s="50">
        <v>21</v>
      </c>
      <c r="V37" s="50" t="str">
        <f t="shared" si="21"/>
        <v>21-30</v>
      </c>
      <c r="W37" s="50">
        <f t="shared" si="7"/>
        <v>4508.6394748902885</v>
      </c>
      <c r="X37" s="143">
        <v>0</v>
      </c>
      <c r="Y37" s="143" t="str">
        <f t="shared" si="22"/>
        <v>0-20</v>
      </c>
      <c r="Z37" s="143">
        <f t="shared" si="23"/>
        <v>3844.3574443810608</v>
      </c>
      <c r="AA37" s="116"/>
      <c r="AB37" s="114" t="str">
        <f t="shared" si="8"/>
        <v>0-20</v>
      </c>
      <c r="AC37" s="114">
        <f t="shared" si="9"/>
        <v>3844.3574443810608</v>
      </c>
      <c r="AD37" s="129"/>
      <c r="AE37" s="129" t="str">
        <f t="shared" si="39"/>
        <v>0-20</v>
      </c>
      <c r="AF37" s="129">
        <f t="shared" si="40"/>
        <v>3844.3574443810608</v>
      </c>
      <c r="AG37" s="138">
        <v>92</v>
      </c>
      <c r="AH37" s="138" t="str">
        <f t="shared" si="41"/>
        <v>81-110</v>
      </c>
      <c r="AI37" s="138">
        <f t="shared" si="42"/>
        <v>8747.8561594387575</v>
      </c>
      <c r="AJ37" s="36">
        <v>28</v>
      </c>
      <c r="AK37" s="36" t="str">
        <f t="shared" si="31"/>
        <v>21-30</v>
      </c>
      <c r="AL37" s="37">
        <f t="shared" si="32"/>
        <v>4508.6394748902885</v>
      </c>
      <c r="AM37" s="37"/>
      <c r="AN37" s="3" t="str">
        <f t="shared" si="43"/>
        <v>0-20</v>
      </c>
      <c r="AO37" s="119">
        <f t="shared" si="44"/>
        <v>3844.3574443810608</v>
      </c>
      <c r="AP37" s="133"/>
      <c r="AQ37" s="133" t="str">
        <f t="shared" si="18"/>
        <v>0-20</v>
      </c>
      <c r="AR37" s="133">
        <f t="shared" si="19"/>
        <v>3844.3574443810608</v>
      </c>
      <c r="AS37" s="131"/>
      <c r="AT37" s="131"/>
      <c r="AU37" s="41"/>
      <c r="AV37" s="41"/>
      <c r="AW37" s="41"/>
    </row>
    <row r="38" spans="1:49" x14ac:dyDescent="0.25">
      <c r="A38" s="32">
        <v>35</v>
      </c>
      <c r="B38" s="13" t="s">
        <v>21</v>
      </c>
      <c r="C38" s="11" t="s">
        <v>124</v>
      </c>
      <c r="D38" s="10" t="s">
        <v>924</v>
      </c>
      <c r="E38" s="11" t="s">
        <v>125</v>
      </c>
      <c r="F38" s="34" t="s">
        <v>126</v>
      </c>
      <c r="G38" s="6" t="s">
        <v>127</v>
      </c>
      <c r="H38" s="33">
        <v>401201</v>
      </c>
      <c r="I38" s="90">
        <v>153</v>
      </c>
      <c r="J38" s="90" t="str">
        <f t="shared" ref="J38:J44" si="45">VLOOKUP(I38,$AV$4:$AW$9,2,1)</f>
        <v>110-130</v>
      </c>
      <c r="K38" s="91">
        <f t="shared" ref="K38:K44" si="46">VLOOKUP(J38,$AW$3:$AX$9,2,0)</f>
        <v>10159.810450732197</v>
      </c>
      <c r="L38" s="35">
        <v>47</v>
      </c>
      <c r="M38" s="35" t="str">
        <f t="shared" si="29"/>
        <v>31-50</v>
      </c>
      <c r="N38" s="36">
        <f t="shared" si="30"/>
        <v>5073.1976040297868</v>
      </c>
      <c r="O38" s="51">
        <v>17</v>
      </c>
      <c r="P38" s="51" t="str">
        <f t="shared" si="20"/>
        <v>0-20</v>
      </c>
      <c r="Q38" s="51">
        <f t="shared" si="4"/>
        <v>3844.3574443810608</v>
      </c>
      <c r="R38" s="49">
        <v>48</v>
      </c>
      <c r="S38" s="49" t="str">
        <f t="shared" si="5"/>
        <v>31-50</v>
      </c>
      <c r="T38" s="49">
        <f t="shared" si="6"/>
        <v>5073.1976040297868</v>
      </c>
      <c r="U38" s="50">
        <v>52</v>
      </c>
      <c r="V38" s="50" t="str">
        <f t="shared" si="21"/>
        <v>51-80</v>
      </c>
      <c r="W38" s="50">
        <f t="shared" si="7"/>
        <v>6509</v>
      </c>
      <c r="X38" s="143">
        <v>54</v>
      </c>
      <c r="Y38" s="143" t="str">
        <f t="shared" si="22"/>
        <v>51-80</v>
      </c>
      <c r="Z38" s="143">
        <f t="shared" si="23"/>
        <v>6509</v>
      </c>
      <c r="AA38" s="116">
        <v>43</v>
      </c>
      <c r="AB38" s="114" t="str">
        <f t="shared" si="8"/>
        <v>31-50</v>
      </c>
      <c r="AC38" s="114">
        <f t="shared" si="9"/>
        <v>5073.1976040297868</v>
      </c>
      <c r="AD38" s="129"/>
      <c r="AE38" s="129" t="str">
        <f t="shared" si="39"/>
        <v>0-20</v>
      </c>
      <c r="AF38" s="129">
        <f t="shared" si="40"/>
        <v>3844.3574443810608</v>
      </c>
      <c r="AG38" s="138">
        <v>57</v>
      </c>
      <c r="AH38" s="138" t="str">
        <f t="shared" si="41"/>
        <v>51-80</v>
      </c>
      <c r="AI38" s="138">
        <f t="shared" si="42"/>
        <v>6509</v>
      </c>
      <c r="AJ38" s="36">
        <v>64</v>
      </c>
      <c r="AK38" s="36" t="str">
        <f t="shared" si="31"/>
        <v>51-80</v>
      </c>
      <c r="AL38" s="37">
        <f t="shared" si="32"/>
        <v>6509</v>
      </c>
      <c r="AM38" s="37"/>
      <c r="AN38" s="3" t="str">
        <f t="shared" si="43"/>
        <v>0-20</v>
      </c>
      <c r="AO38" s="119">
        <f t="shared" si="44"/>
        <v>3844.3574443810608</v>
      </c>
      <c r="AP38" s="133">
        <v>72</v>
      </c>
      <c r="AQ38" s="133" t="str">
        <f t="shared" si="18"/>
        <v>51-80</v>
      </c>
      <c r="AR38" s="133">
        <f t="shared" si="19"/>
        <v>6509</v>
      </c>
      <c r="AS38" s="131"/>
      <c r="AT38" s="131"/>
      <c r="AU38" s="41"/>
      <c r="AV38" s="41"/>
      <c r="AW38" s="41"/>
    </row>
    <row r="39" spans="1:49" x14ac:dyDescent="0.25">
      <c r="A39" s="32">
        <v>36</v>
      </c>
      <c r="B39" s="13" t="s">
        <v>21</v>
      </c>
      <c r="C39" s="11" t="s">
        <v>128</v>
      </c>
      <c r="D39" s="10" t="s">
        <v>925</v>
      </c>
      <c r="E39" s="11" t="s">
        <v>129</v>
      </c>
      <c r="F39" s="34" t="s">
        <v>130</v>
      </c>
      <c r="G39" s="6" t="s">
        <v>131</v>
      </c>
      <c r="H39" s="33">
        <v>402109</v>
      </c>
      <c r="I39" s="90">
        <v>112</v>
      </c>
      <c r="J39" s="90" t="str">
        <f t="shared" si="45"/>
        <v>110-130</v>
      </c>
      <c r="K39" s="91">
        <f t="shared" si="46"/>
        <v>10159.810450732197</v>
      </c>
      <c r="L39" s="35">
        <v>121</v>
      </c>
      <c r="M39" s="35" t="str">
        <f t="shared" si="29"/>
        <v>110-130</v>
      </c>
      <c r="N39" s="36">
        <f t="shared" si="30"/>
        <v>10159.810450732197</v>
      </c>
      <c r="O39" s="51">
        <v>147</v>
      </c>
      <c r="P39" s="51" t="str">
        <f t="shared" si="20"/>
        <v>110-130</v>
      </c>
      <c r="Q39" s="51">
        <f t="shared" si="4"/>
        <v>10159.810450732197</v>
      </c>
      <c r="R39" s="49">
        <v>122</v>
      </c>
      <c r="S39" s="49" t="str">
        <f t="shared" si="5"/>
        <v>110-130</v>
      </c>
      <c r="T39" s="49">
        <f t="shared" si="6"/>
        <v>10159.810450732197</v>
      </c>
      <c r="U39" s="50">
        <v>130</v>
      </c>
      <c r="V39" s="50" t="str">
        <f t="shared" si="21"/>
        <v>110-130</v>
      </c>
      <c r="W39" s="50">
        <f t="shared" si="7"/>
        <v>10159.810450732197</v>
      </c>
      <c r="X39" s="143">
        <v>0</v>
      </c>
      <c r="Y39" s="143" t="str">
        <f t="shared" si="22"/>
        <v>0-20</v>
      </c>
      <c r="Z39" s="143">
        <f t="shared" si="23"/>
        <v>3844.3574443810608</v>
      </c>
      <c r="AA39" s="116"/>
      <c r="AB39" s="114" t="str">
        <f t="shared" si="8"/>
        <v>0-20</v>
      </c>
      <c r="AC39" s="114">
        <f t="shared" si="9"/>
        <v>3844.3574443810608</v>
      </c>
      <c r="AD39" s="129"/>
      <c r="AE39" s="129" t="str">
        <f t="shared" si="39"/>
        <v>0-20</v>
      </c>
      <c r="AF39" s="129">
        <f t="shared" si="40"/>
        <v>3844.3574443810608</v>
      </c>
      <c r="AG39" s="138">
        <v>18</v>
      </c>
      <c r="AH39" s="138" t="str">
        <f t="shared" si="41"/>
        <v>0-20</v>
      </c>
      <c r="AI39" s="138">
        <f t="shared" si="42"/>
        <v>3844.3574443810608</v>
      </c>
      <c r="AJ39" s="36">
        <v>129</v>
      </c>
      <c r="AK39" s="36" t="str">
        <f t="shared" si="31"/>
        <v>110-130</v>
      </c>
      <c r="AL39" s="37">
        <f t="shared" si="32"/>
        <v>10159.810450732197</v>
      </c>
      <c r="AM39" s="37">
        <v>59</v>
      </c>
      <c r="AN39" s="3" t="str">
        <f t="shared" si="43"/>
        <v>51-80</v>
      </c>
      <c r="AO39" s="119">
        <f t="shared" si="44"/>
        <v>6509</v>
      </c>
      <c r="AP39" s="133">
        <v>181</v>
      </c>
      <c r="AQ39" s="133" t="str">
        <f t="shared" si="18"/>
        <v>110-130</v>
      </c>
      <c r="AR39" s="133">
        <f t="shared" si="19"/>
        <v>10159.810450732197</v>
      </c>
      <c r="AS39" s="131"/>
      <c r="AT39" s="131"/>
      <c r="AU39" s="41"/>
      <c r="AV39" s="41"/>
      <c r="AW39" s="41"/>
    </row>
    <row r="40" spans="1:49" x14ac:dyDescent="0.25">
      <c r="A40" s="32">
        <v>37</v>
      </c>
      <c r="B40" s="13" t="s">
        <v>21</v>
      </c>
      <c r="C40" s="11" t="s">
        <v>486</v>
      </c>
      <c r="D40" s="10" t="s">
        <v>926</v>
      </c>
      <c r="E40" s="11" t="s">
        <v>487</v>
      </c>
      <c r="F40" s="34" t="s">
        <v>726</v>
      </c>
      <c r="G40" s="6" t="s">
        <v>491</v>
      </c>
      <c r="H40" s="33">
        <v>410206</v>
      </c>
      <c r="I40" s="90">
        <v>112</v>
      </c>
      <c r="J40" s="90" t="str">
        <f t="shared" si="45"/>
        <v>110-130</v>
      </c>
      <c r="K40" s="91">
        <f t="shared" si="46"/>
        <v>10159.810450732197</v>
      </c>
      <c r="L40" s="35">
        <v>39</v>
      </c>
      <c r="M40" s="35" t="str">
        <f t="shared" si="29"/>
        <v>31-50</v>
      </c>
      <c r="N40" s="36">
        <f t="shared" si="30"/>
        <v>5073.1976040297868</v>
      </c>
      <c r="O40" s="51">
        <v>67</v>
      </c>
      <c r="P40" s="51" t="str">
        <f t="shared" si="20"/>
        <v>51-80</v>
      </c>
      <c r="Q40" s="51">
        <f t="shared" si="4"/>
        <v>6509</v>
      </c>
      <c r="R40" s="49">
        <v>39</v>
      </c>
      <c r="S40" s="49" t="str">
        <f t="shared" si="5"/>
        <v>31-50</v>
      </c>
      <c r="T40" s="49">
        <f t="shared" si="6"/>
        <v>5073.1976040297868</v>
      </c>
      <c r="U40" s="50">
        <v>30</v>
      </c>
      <c r="V40" s="50" t="str">
        <f t="shared" si="21"/>
        <v>21-30</v>
      </c>
      <c r="W40" s="50">
        <f t="shared" si="7"/>
        <v>4508.6394748902885</v>
      </c>
      <c r="X40" s="143">
        <v>0</v>
      </c>
      <c r="Y40" s="143" t="str">
        <f t="shared" si="22"/>
        <v>0-20</v>
      </c>
      <c r="Z40" s="143">
        <f t="shared" si="23"/>
        <v>3844.3574443810608</v>
      </c>
      <c r="AA40" s="116"/>
      <c r="AB40" s="114" t="str">
        <f t="shared" si="8"/>
        <v>0-20</v>
      </c>
      <c r="AC40" s="114">
        <f t="shared" si="9"/>
        <v>3844.3574443810608</v>
      </c>
      <c r="AD40" s="129"/>
      <c r="AE40" s="129" t="str">
        <f t="shared" si="39"/>
        <v>0-20</v>
      </c>
      <c r="AF40" s="129">
        <f t="shared" si="40"/>
        <v>3844.3574443810608</v>
      </c>
      <c r="AG40" s="139">
        <v>106</v>
      </c>
      <c r="AH40" s="138" t="str">
        <f t="shared" si="41"/>
        <v>81-110</v>
      </c>
      <c r="AI40" s="138">
        <f t="shared" si="42"/>
        <v>8747.8561594387575</v>
      </c>
      <c r="AJ40" s="36">
        <v>60</v>
      </c>
      <c r="AK40" s="36" t="str">
        <f t="shared" si="31"/>
        <v>51-80</v>
      </c>
      <c r="AL40" s="37">
        <f t="shared" si="32"/>
        <v>6509</v>
      </c>
      <c r="AM40" s="80">
        <v>36</v>
      </c>
      <c r="AN40" s="81" t="str">
        <f t="shared" si="43"/>
        <v>31-50</v>
      </c>
      <c r="AO40" s="120">
        <f t="shared" si="44"/>
        <v>5073.1976040297868</v>
      </c>
      <c r="AP40" s="133">
        <v>101</v>
      </c>
      <c r="AQ40" s="133" t="str">
        <f t="shared" si="18"/>
        <v>81-110</v>
      </c>
      <c r="AR40" s="133">
        <f t="shared" si="19"/>
        <v>8747.8561594387575</v>
      </c>
      <c r="AS40" s="131"/>
      <c r="AT40" s="131"/>
      <c r="AU40" s="41"/>
      <c r="AV40" s="41"/>
      <c r="AW40" s="41"/>
    </row>
    <row r="41" spans="1:49" x14ac:dyDescent="0.25">
      <c r="A41" s="32">
        <v>38</v>
      </c>
      <c r="B41" s="13" t="s">
        <v>21</v>
      </c>
      <c r="C41" s="11" t="s">
        <v>132</v>
      </c>
      <c r="D41" s="10">
        <v>0</v>
      </c>
      <c r="E41" s="11" t="s">
        <v>133</v>
      </c>
      <c r="F41" s="34" t="s">
        <v>134</v>
      </c>
      <c r="G41" s="6" t="s">
        <v>135</v>
      </c>
      <c r="H41" s="33">
        <v>410202</v>
      </c>
      <c r="I41" s="90">
        <v>47</v>
      </c>
      <c r="J41" s="90" t="str">
        <f t="shared" si="45"/>
        <v>31-50</v>
      </c>
      <c r="K41" s="91">
        <f t="shared" si="46"/>
        <v>5073.1976040297868</v>
      </c>
      <c r="L41" s="35">
        <v>64</v>
      </c>
      <c r="M41" s="35" t="str">
        <f t="shared" si="29"/>
        <v>51-80</v>
      </c>
      <c r="N41" s="36">
        <f t="shared" si="30"/>
        <v>6509</v>
      </c>
      <c r="O41" s="51">
        <v>89</v>
      </c>
      <c r="P41" s="51" t="str">
        <f t="shared" si="20"/>
        <v>81-110</v>
      </c>
      <c r="Q41" s="51">
        <f t="shared" si="4"/>
        <v>8747.8561594387575</v>
      </c>
      <c r="R41" s="49">
        <v>73</v>
      </c>
      <c r="S41" s="49" t="str">
        <f t="shared" si="5"/>
        <v>51-80</v>
      </c>
      <c r="T41" s="49">
        <f t="shared" si="6"/>
        <v>6509</v>
      </c>
      <c r="U41" s="50">
        <v>60</v>
      </c>
      <c r="V41" s="50" t="str">
        <f t="shared" si="21"/>
        <v>51-80</v>
      </c>
      <c r="W41" s="50">
        <f t="shared" si="7"/>
        <v>6509</v>
      </c>
      <c r="X41" s="143">
        <v>0</v>
      </c>
      <c r="Y41" s="143" t="str">
        <f t="shared" si="22"/>
        <v>0-20</v>
      </c>
      <c r="Z41" s="143">
        <f t="shared" si="23"/>
        <v>3844.3574443810608</v>
      </c>
      <c r="AA41" s="116"/>
      <c r="AB41" s="114" t="str">
        <f t="shared" si="8"/>
        <v>0-20</v>
      </c>
      <c r="AC41" s="114">
        <f t="shared" si="9"/>
        <v>3844.3574443810608</v>
      </c>
      <c r="AD41" s="129"/>
      <c r="AE41" s="129" t="str">
        <f t="shared" si="39"/>
        <v>0-20</v>
      </c>
      <c r="AF41" s="129">
        <f t="shared" si="40"/>
        <v>3844.3574443810608</v>
      </c>
      <c r="AG41" s="138"/>
      <c r="AH41" s="138" t="str">
        <f t="shared" si="41"/>
        <v>0-20</v>
      </c>
      <c r="AI41" s="138">
        <f t="shared" si="42"/>
        <v>3844.3574443810608</v>
      </c>
      <c r="AJ41" s="36">
        <v>58</v>
      </c>
      <c r="AK41" s="36" t="str">
        <f t="shared" si="31"/>
        <v>51-80</v>
      </c>
      <c r="AL41" s="37">
        <f t="shared" si="32"/>
        <v>6509</v>
      </c>
      <c r="AM41" s="80">
        <v>49</v>
      </c>
      <c r="AN41" s="81" t="str">
        <f t="shared" si="43"/>
        <v>31-50</v>
      </c>
      <c r="AO41" s="120">
        <f t="shared" si="44"/>
        <v>5073.1976040297868</v>
      </c>
      <c r="AP41" s="133"/>
      <c r="AQ41" s="133" t="str">
        <f t="shared" si="18"/>
        <v>0-20</v>
      </c>
      <c r="AR41" s="133">
        <f t="shared" si="19"/>
        <v>3844.3574443810608</v>
      </c>
      <c r="AS41" s="131"/>
      <c r="AT41" s="131"/>
      <c r="AU41" s="41"/>
      <c r="AV41" s="41"/>
      <c r="AW41" s="41"/>
    </row>
    <row r="42" spans="1:49" x14ac:dyDescent="0.25">
      <c r="A42" s="32">
        <v>39</v>
      </c>
      <c r="B42" s="13" t="s">
        <v>21</v>
      </c>
      <c r="C42" s="11" t="s">
        <v>136</v>
      </c>
      <c r="D42" s="10" t="s">
        <v>927</v>
      </c>
      <c r="E42" s="11" t="s">
        <v>137</v>
      </c>
      <c r="F42" s="34" t="s">
        <v>138</v>
      </c>
      <c r="G42" s="6" t="s">
        <v>139</v>
      </c>
      <c r="H42" s="33">
        <v>421401</v>
      </c>
      <c r="I42" s="90">
        <v>117</v>
      </c>
      <c r="J42" s="90" t="str">
        <f t="shared" si="45"/>
        <v>110-130</v>
      </c>
      <c r="K42" s="91">
        <f t="shared" si="46"/>
        <v>10159.810450732197</v>
      </c>
      <c r="L42" s="35">
        <v>68</v>
      </c>
      <c r="M42" s="35" t="str">
        <f t="shared" si="29"/>
        <v>51-80</v>
      </c>
      <c r="N42" s="36">
        <f t="shared" si="30"/>
        <v>6509</v>
      </c>
      <c r="O42" s="51">
        <v>96</v>
      </c>
      <c r="P42" s="51" t="str">
        <f t="shared" si="20"/>
        <v>81-110</v>
      </c>
      <c r="Q42" s="51">
        <f t="shared" si="4"/>
        <v>8747.8561594387575</v>
      </c>
      <c r="R42" s="49">
        <v>90</v>
      </c>
      <c r="S42" s="49" t="str">
        <f t="shared" si="5"/>
        <v>81-110</v>
      </c>
      <c r="T42" s="49">
        <f t="shared" si="6"/>
        <v>8747.8561594387575</v>
      </c>
      <c r="U42" s="50">
        <v>87</v>
      </c>
      <c r="V42" s="50" t="str">
        <f t="shared" si="21"/>
        <v>81-110</v>
      </c>
      <c r="W42" s="50">
        <f t="shared" si="7"/>
        <v>8747.8561594387575</v>
      </c>
      <c r="X42" s="143">
        <v>0</v>
      </c>
      <c r="Y42" s="143" t="str">
        <f t="shared" si="22"/>
        <v>0-20</v>
      </c>
      <c r="Z42" s="143">
        <f t="shared" si="23"/>
        <v>3844.3574443810608</v>
      </c>
      <c r="AA42" s="116"/>
      <c r="AB42" s="114" t="str">
        <f t="shared" si="8"/>
        <v>0-20</v>
      </c>
      <c r="AC42" s="114">
        <f t="shared" si="9"/>
        <v>3844.3574443810608</v>
      </c>
      <c r="AD42" s="129"/>
      <c r="AE42" s="129" t="str">
        <f t="shared" si="39"/>
        <v>0-20</v>
      </c>
      <c r="AF42" s="129">
        <f t="shared" si="40"/>
        <v>3844.3574443810608</v>
      </c>
      <c r="AG42" s="138"/>
      <c r="AH42" s="138" t="str">
        <f t="shared" si="41"/>
        <v>0-20</v>
      </c>
      <c r="AI42" s="138">
        <f t="shared" si="42"/>
        <v>3844.3574443810608</v>
      </c>
      <c r="AJ42" s="36">
        <v>93</v>
      </c>
      <c r="AK42" s="36" t="str">
        <f t="shared" si="31"/>
        <v>81-110</v>
      </c>
      <c r="AL42" s="37">
        <f t="shared" si="32"/>
        <v>8747.8561594387575</v>
      </c>
      <c r="AM42" s="82">
        <v>84</v>
      </c>
      <c r="AN42" s="83" t="str">
        <f t="shared" si="43"/>
        <v>81-110</v>
      </c>
      <c r="AO42" s="121">
        <f t="shared" si="44"/>
        <v>8747.8561594387575</v>
      </c>
      <c r="AP42" s="133">
        <v>72</v>
      </c>
      <c r="AQ42" s="133" t="str">
        <f t="shared" si="18"/>
        <v>51-80</v>
      </c>
      <c r="AR42" s="133">
        <f t="shared" si="19"/>
        <v>6509</v>
      </c>
      <c r="AS42" s="131"/>
      <c r="AT42" s="131"/>
      <c r="AU42" s="41"/>
      <c r="AV42" s="41"/>
      <c r="AW42" s="41"/>
    </row>
    <row r="43" spans="1:49" x14ac:dyDescent="0.25">
      <c r="A43" s="32">
        <v>40</v>
      </c>
      <c r="B43" s="13" t="s">
        <v>21</v>
      </c>
      <c r="C43" s="11" t="s">
        <v>140</v>
      </c>
      <c r="D43" s="10">
        <v>0</v>
      </c>
      <c r="E43" s="11" t="s">
        <v>141</v>
      </c>
      <c r="F43" s="34" t="s">
        <v>142</v>
      </c>
      <c r="G43" s="6" t="s">
        <v>143</v>
      </c>
      <c r="H43" s="33">
        <v>400614</v>
      </c>
      <c r="I43" s="90">
        <v>85</v>
      </c>
      <c r="J43" s="90" t="str">
        <f t="shared" si="45"/>
        <v>81-110</v>
      </c>
      <c r="K43" s="91">
        <f t="shared" si="46"/>
        <v>8747.8561594387575</v>
      </c>
      <c r="L43" s="35">
        <v>26</v>
      </c>
      <c r="M43" s="35" t="str">
        <f t="shared" si="29"/>
        <v>21-30</v>
      </c>
      <c r="N43" s="36">
        <f t="shared" si="30"/>
        <v>4508.6394748902885</v>
      </c>
      <c r="O43" s="51">
        <v>64</v>
      </c>
      <c r="P43" s="51" t="str">
        <f t="shared" si="20"/>
        <v>51-80</v>
      </c>
      <c r="Q43" s="51">
        <f t="shared" si="4"/>
        <v>6509</v>
      </c>
      <c r="R43" s="49">
        <v>35</v>
      </c>
      <c r="S43" s="49" t="str">
        <f t="shared" si="5"/>
        <v>31-50</v>
      </c>
      <c r="T43" s="49">
        <f t="shared" si="6"/>
        <v>5073.1976040297868</v>
      </c>
      <c r="U43" s="50">
        <v>24</v>
      </c>
      <c r="V43" s="50" t="str">
        <f t="shared" si="21"/>
        <v>21-30</v>
      </c>
      <c r="W43" s="50">
        <f t="shared" si="7"/>
        <v>4508.6394748902885</v>
      </c>
      <c r="X43" s="143">
        <v>0</v>
      </c>
      <c r="Y43" s="143" t="str">
        <f t="shared" si="22"/>
        <v>0-20</v>
      </c>
      <c r="Z43" s="143">
        <f t="shared" si="23"/>
        <v>3844.3574443810608</v>
      </c>
      <c r="AA43" s="116"/>
      <c r="AB43" s="114" t="str">
        <f t="shared" si="8"/>
        <v>0-20</v>
      </c>
      <c r="AC43" s="114">
        <f t="shared" si="9"/>
        <v>3844.3574443810608</v>
      </c>
      <c r="AD43" s="129"/>
      <c r="AE43" s="129" t="str">
        <f t="shared" si="39"/>
        <v>0-20</v>
      </c>
      <c r="AF43" s="129">
        <f t="shared" si="40"/>
        <v>3844.3574443810608</v>
      </c>
      <c r="AG43" s="138">
        <v>110</v>
      </c>
      <c r="AH43" s="138" t="str">
        <f t="shared" si="41"/>
        <v>110-130</v>
      </c>
      <c r="AI43" s="138">
        <f t="shared" si="42"/>
        <v>10159.810450732197</v>
      </c>
      <c r="AJ43" s="36">
        <v>22</v>
      </c>
      <c r="AK43" s="36" t="str">
        <f t="shared" si="31"/>
        <v>21-30</v>
      </c>
      <c r="AL43" s="37">
        <f t="shared" si="32"/>
        <v>4508.6394748902885</v>
      </c>
      <c r="AM43" s="84">
        <v>42</v>
      </c>
      <c r="AN43" s="85" t="str">
        <f t="shared" si="43"/>
        <v>31-50</v>
      </c>
      <c r="AO43" s="122">
        <f t="shared" si="44"/>
        <v>5073.1976040297868</v>
      </c>
      <c r="AP43" s="133"/>
      <c r="AQ43" s="133" t="str">
        <f t="shared" si="18"/>
        <v>0-20</v>
      </c>
      <c r="AR43" s="133">
        <f t="shared" si="19"/>
        <v>3844.3574443810608</v>
      </c>
      <c r="AS43" s="131"/>
      <c r="AT43" s="131"/>
      <c r="AU43" s="41"/>
      <c r="AV43" s="41"/>
      <c r="AW43" s="41"/>
    </row>
    <row r="44" spans="1:49" x14ac:dyDescent="0.25">
      <c r="A44" s="32">
        <v>41</v>
      </c>
      <c r="B44" s="13" t="s">
        <v>21</v>
      </c>
      <c r="C44" s="11" t="s">
        <v>144</v>
      </c>
      <c r="D44" s="10">
        <v>0</v>
      </c>
      <c r="E44" s="11" t="s">
        <v>145</v>
      </c>
      <c r="F44" s="34" t="s">
        <v>146</v>
      </c>
      <c r="G44" s="6" t="s">
        <v>147</v>
      </c>
      <c r="H44" s="33">
        <v>410301</v>
      </c>
      <c r="I44" s="90">
        <v>29</v>
      </c>
      <c r="J44" s="90" t="str">
        <f t="shared" si="45"/>
        <v>21-30</v>
      </c>
      <c r="K44" s="91">
        <f t="shared" si="46"/>
        <v>4508.6394748902885</v>
      </c>
      <c r="L44" s="35">
        <v>81</v>
      </c>
      <c r="M44" s="35" t="str">
        <f t="shared" si="29"/>
        <v>81-110</v>
      </c>
      <c r="N44" s="36">
        <f t="shared" si="30"/>
        <v>8747.8561594387575</v>
      </c>
      <c r="O44" s="51">
        <v>117</v>
      </c>
      <c r="P44" s="51" t="str">
        <f t="shared" si="20"/>
        <v>110-130</v>
      </c>
      <c r="Q44" s="51">
        <f t="shared" si="4"/>
        <v>10159.810450732197</v>
      </c>
      <c r="R44" s="49">
        <v>86</v>
      </c>
      <c r="S44" s="49" t="str">
        <f t="shared" si="5"/>
        <v>81-110</v>
      </c>
      <c r="T44" s="49">
        <f t="shared" si="6"/>
        <v>8747.8561594387575</v>
      </c>
      <c r="U44" s="50">
        <v>79</v>
      </c>
      <c r="V44" s="50" t="str">
        <f t="shared" si="21"/>
        <v>51-80</v>
      </c>
      <c r="W44" s="50">
        <f t="shared" si="7"/>
        <v>6509</v>
      </c>
      <c r="X44" s="143">
        <v>0</v>
      </c>
      <c r="Y44" s="143" t="str">
        <f t="shared" si="22"/>
        <v>0-20</v>
      </c>
      <c r="Z44" s="143">
        <f t="shared" si="23"/>
        <v>3844.3574443810608</v>
      </c>
      <c r="AA44" s="116"/>
      <c r="AB44" s="114" t="str">
        <f t="shared" si="8"/>
        <v>0-20</v>
      </c>
      <c r="AC44" s="114">
        <f t="shared" si="9"/>
        <v>3844.3574443810608</v>
      </c>
      <c r="AD44" s="129"/>
      <c r="AE44" s="129" t="str">
        <f t="shared" si="39"/>
        <v>0-20</v>
      </c>
      <c r="AF44" s="129">
        <f t="shared" si="40"/>
        <v>3844.3574443810608</v>
      </c>
      <c r="AG44" s="138"/>
      <c r="AH44" s="138" t="str">
        <f t="shared" si="41"/>
        <v>0-20</v>
      </c>
      <c r="AI44" s="138">
        <f t="shared" si="42"/>
        <v>3844.3574443810608</v>
      </c>
      <c r="AJ44" s="36">
        <v>78</v>
      </c>
      <c r="AK44" s="36" t="str">
        <f t="shared" si="31"/>
        <v>51-80</v>
      </c>
      <c r="AL44" s="37">
        <f t="shared" si="32"/>
        <v>6509</v>
      </c>
      <c r="AM44" s="37"/>
      <c r="AN44" s="3" t="str">
        <f t="shared" si="43"/>
        <v>0-20</v>
      </c>
      <c r="AO44" s="119">
        <f t="shared" si="44"/>
        <v>3844.3574443810608</v>
      </c>
      <c r="AP44" s="133"/>
      <c r="AQ44" s="133" t="str">
        <f t="shared" si="18"/>
        <v>0-20</v>
      </c>
      <c r="AR44" s="133">
        <f t="shared" si="19"/>
        <v>3844.3574443810608</v>
      </c>
      <c r="AS44" s="131"/>
      <c r="AT44" s="131"/>
      <c r="AU44" s="41"/>
      <c r="AV44" s="41"/>
      <c r="AW44" s="41"/>
    </row>
    <row r="45" spans="1:49" x14ac:dyDescent="0.25">
      <c r="A45" s="32">
        <v>42</v>
      </c>
      <c r="B45" s="13" t="s">
        <v>21</v>
      </c>
      <c r="C45" s="11" t="s">
        <v>498</v>
      </c>
      <c r="D45" s="10" t="s">
        <v>928</v>
      </c>
      <c r="E45" s="11" t="s">
        <v>499</v>
      </c>
      <c r="F45" s="34" t="s">
        <v>500</v>
      </c>
      <c r="G45" s="6" t="s">
        <v>501</v>
      </c>
      <c r="H45" s="33">
        <v>400705</v>
      </c>
      <c r="I45" s="90">
        <v>88</v>
      </c>
      <c r="J45" s="90" t="str">
        <f>VLOOKUP(I45,'[1]M2 Trip Matrix'!$AB$3:$AC$8,2,1)</f>
        <v>81-110</v>
      </c>
      <c r="K45" s="91">
        <f>VLOOKUP(J45,'[1]M2 Trip Matrix'!$AC$2:$AD$8,2,0)</f>
        <v>8454</v>
      </c>
      <c r="L45" s="35">
        <v>35</v>
      </c>
      <c r="M45" s="35" t="str">
        <f t="shared" si="29"/>
        <v>31-50</v>
      </c>
      <c r="N45" s="36">
        <f t="shared" si="30"/>
        <v>5073.1976040297868</v>
      </c>
      <c r="O45" s="51">
        <v>69</v>
      </c>
      <c r="P45" s="51" t="str">
        <f t="shared" si="20"/>
        <v>51-80</v>
      </c>
      <c r="Q45" s="51">
        <f t="shared" si="4"/>
        <v>6509</v>
      </c>
      <c r="R45" s="49">
        <v>31</v>
      </c>
      <c r="S45" s="49" t="str">
        <f t="shared" si="5"/>
        <v>31-50</v>
      </c>
      <c r="T45" s="49">
        <f t="shared" si="6"/>
        <v>5073.1976040297868</v>
      </c>
      <c r="U45" s="50">
        <v>20</v>
      </c>
      <c r="V45" s="50" t="str">
        <f t="shared" si="21"/>
        <v>0-20</v>
      </c>
      <c r="W45" s="50">
        <f t="shared" si="7"/>
        <v>3844.3574443810608</v>
      </c>
      <c r="X45" s="143">
        <v>0</v>
      </c>
      <c r="Y45" s="143" t="str">
        <f t="shared" si="22"/>
        <v>0-20</v>
      </c>
      <c r="Z45" s="143">
        <f t="shared" si="23"/>
        <v>3844.3574443810608</v>
      </c>
      <c r="AA45" s="116"/>
      <c r="AB45" s="114" t="str">
        <f t="shared" si="8"/>
        <v>0-20</v>
      </c>
      <c r="AC45" s="114">
        <f t="shared" si="9"/>
        <v>3844.3574443810608</v>
      </c>
      <c r="AD45" s="129"/>
      <c r="AE45" s="129" t="str">
        <f t="shared" si="39"/>
        <v>0-20</v>
      </c>
      <c r="AF45" s="129">
        <f t="shared" si="40"/>
        <v>3844.3574443810608</v>
      </c>
      <c r="AG45" s="138">
        <v>104</v>
      </c>
      <c r="AH45" s="138" t="str">
        <f t="shared" si="41"/>
        <v>81-110</v>
      </c>
      <c r="AI45" s="138">
        <f t="shared" si="42"/>
        <v>8747.8561594387575</v>
      </c>
      <c r="AJ45" s="36">
        <v>23</v>
      </c>
      <c r="AK45" s="36" t="str">
        <f t="shared" si="31"/>
        <v>21-30</v>
      </c>
      <c r="AL45" s="37">
        <f t="shared" si="32"/>
        <v>4508.6394748902885</v>
      </c>
      <c r="AM45" s="84">
        <v>50</v>
      </c>
      <c r="AN45" s="85" t="str">
        <f t="shared" si="43"/>
        <v>31-50</v>
      </c>
      <c r="AO45" s="122">
        <f t="shared" si="44"/>
        <v>5073.1976040297868</v>
      </c>
      <c r="AP45" s="133">
        <v>93</v>
      </c>
      <c r="AQ45" s="133" t="str">
        <f t="shared" si="18"/>
        <v>81-110</v>
      </c>
      <c r="AR45" s="133">
        <f t="shared" si="19"/>
        <v>8747.8561594387575</v>
      </c>
      <c r="AS45" s="131"/>
      <c r="AT45" s="131"/>
      <c r="AU45" s="41"/>
      <c r="AV45" s="41"/>
      <c r="AW45" s="41"/>
    </row>
    <row r="46" spans="1:49" x14ac:dyDescent="0.25">
      <c r="A46" s="32">
        <v>43</v>
      </c>
      <c r="B46" s="13" t="s">
        <v>21</v>
      </c>
      <c r="C46" s="11" t="s">
        <v>148</v>
      </c>
      <c r="D46" s="10" t="s">
        <v>929</v>
      </c>
      <c r="E46" s="11" t="s">
        <v>149</v>
      </c>
      <c r="F46" s="34" t="s">
        <v>1278</v>
      </c>
      <c r="G46" s="6" t="s">
        <v>150</v>
      </c>
      <c r="H46" s="33">
        <v>421302</v>
      </c>
      <c r="I46" s="90">
        <v>62</v>
      </c>
      <c r="J46" s="90" t="str">
        <f t="shared" ref="J46:J62" si="47">VLOOKUP(I46,$AV$4:$AW$9,2,1)</f>
        <v>51-80</v>
      </c>
      <c r="K46" s="91">
        <f t="shared" ref="K46:K62" si="48">VLOOKUP(J46,$AW$3:$AX$9,2,0)</f>
        <v>6509</v>
      </c>
      <c r="L46" s="35">
        <v>26</v>
      </c>
      <c r="M46" s="35" t="str">
        <f t="shared" si="29"/>
        <v>21-30</v>
      </c>
      <c r="N46" s="36">
        <f t="shared" si="30"/>
        <v>4508.6394748902885</v>
      </c>
      <c r="O46" s="51">
        <v>51</v>
      </c>
      <c r="P46" s="51" t="str">
        <f t="shared" si="20"/>
        <v>51-80</v>
      </c>
      <c r="Q46" s="51">
        <f t="shared" si="4"/>
        <v>6509</v>
      </c>
      <c r="R46" s="49">
        <v>62</v>
      </c>
      <c r="S46" s="49" t="str">
        <f t="shared" si="5"/>
        <v>51-80</v>
      </c>
      <c r="T46" s="49">
        <f t="shared" si="6"/>
        <v>6509</v>
      </c>
      <c r="U46" s="50">
        <v>43</v>
      </c>
      <c r="V46" s="50" t="str">
        <f t="shared" si="21"/>
        <v>31-50</v>
      </c>
      <c r="W46" s="50">
        <f t="shared" si="7"/>
        <v>5073.1976040297868</v>
      </c>
      <c r="X46" s="143">
        <v>0</v>
      </c>
      <c r="Y46" s="143" t="str">
        <f t="shared" si="22"/>
        <v>0-20</v>
      </c>
      <c r="Z46" s="143">
        <f t="shared" si="23"/>
        <v>3844.3574443810608</v>
      </c>
      <c r="AA46" s="116"/>
      <c r="AB46" s="114" t="str">
        <f t="shared" si="8"/>
        <v>0-20</v>
      </c>
      <c r="AC46" s="114">
        <f t="shared" si="9"/>
        <v>3844.3574443810608</v>
      </c>
      <c r="AD46" s="129"/>
      <c r="AE46" s="129" t="str">
        <f t="shared" si="39"/>
        <v>0-20</v>
      </c>
      <c r="AF46" s="129">
        <f t="shared" si="40"/>
        <v>3844.3574443810608</v>
      </c>
      <c r="AG46" s="138">
        <v>75</v>
      </c>
      <c r="AH46" s="138" t="str">
        <f t="shared" si="41"/>
        <v>51-80</v>
      </c>
      <c r="AI46" s="138">
        <f t="shared" si="42"/>
        <v>6509</v>
      </c>
      <c r="AJ46" s="36">
        <v>50</v>
      </c>
      <c r="AK46" s="36" t="str">
        <f t="shared" si="31"/>
        <v>31-50</v>
      </c>
      <c r="AL46" s="37">
        <f t="shared" si="32"/>
        <v>5073.1976040297868</v>
      </c>
      <c r="AM46" s="37"/>
      <c r="AN46" s="3" t="str">
        <f t="shared" si="43"/>
        <v>0-20</v>
      </c>
      <c r="AO46" s="119">
        <f t="shared" si="44"/>
        <v>3844.3574443810608</v>
      </c>
      <c r="AP46" s="133">
        <v>123</v>
      </c>
      <c r="AQ46" s="133" t="str">
        <f t="shared" si="18"/>
        <v>110-130</v>
      </c>
      <c r="AR46" s="133">
        <f t="shared" si="19"/>
        <v>10159.810450732197</v>
      </c>
      <c r="AS46" s="131"/>
      <c r="AT46" s="131"/>
      <c r="AU46" s="41"/>
      <c r="AV46" s="41"/>
      <c r="AW46" s="41"/>
    </row>
    <row r="47" spans="1:49" x14ac:dyDescent="0.25">
      <c r="A47" s="32">
        <v>44</v>
      </c>
      <c r="B47" s="13" t="s">
        <v>21</v>
      </c>
      <c r="C47" s="11" t="s">
        <v>163</v>
      </c>
      <c r="D47" s="10" t="s">
        <v>930</v>
      </c>
      <c r="E47" s="11" t="s">
        <v>164</v>
      </c>
      <c r="F47" s="34" t="s">
        <v>1279</v>
      </c>
      <c r="G47" s="6" t="s">
        <v>165</v>
      </c>
      <c r="H47" s="33">
        <v>400706</v>
      </c>
      <c r="I47" s="90">
        <v>91</v>
      </c>
      <c r="J47" s="90" t="str">
        <f t="shared" si="47"/>
        <v>81-110</v>
      </c>
      <c r="K47" s="91">
        <f t="shared" si="48"/>
        <v>8747.8561594387575</v>
      </c>
      <c r="L47" s="35">
        <v>26</v>
      </c>
      <c r="M47" s="35" t="str">
        <f t="shared" si="29"/>
        <v>21-30</v>
      </c>
      <c r="N47" s="36">
        <f t="shared" si="30"/>
        <v>4508.6394748902885</v>
      </c>
      <c r="O47" s="51">
        <v>64</v>
      </c>
      <c r="P47" s="51" t="str">
        <f t="shared" si="20"/>
        <v>51-80</v>
      </c>
      <c r="Q47" s="51">
        <f t="shared" si="4"/>
        <v>6509</v>
      </c>
      <c r="R47" s="49">
        <v>31</v>
      </c>
      <c r="S47" s="49" t="str">
        <f t="shared" si="5"/>
        <v>31-50</v>
      </c>
      <c r="T47" s="49">
        <f t="shared" si="6"/>
        <v>5073.1976040297868</v>
      </c>
      <c r="U47" s="50">
        <v>21</v>
      </c>
      <c r="V47" s="50" t="str">
        <f t="shared" si="21"/>
        <v>21-30</v>
      </c>
      <c r="W47" s="50">
        <f t="shared" si="7"/>
        <v>4508.6394748902885</v>
      </c>
      <c r="X47" s="143">
        <v>0</v>
      </c>
      <c r="Y47" s="143" t="str">
        <f t="shared" si="22"/>
        <v>0-20</v>
      </c>
      <c r="Z47" s="143">
        <f t="shared" si="23"/>
        <v>3844.3574443810608</v>
      </c>
      <c r="AA47" s="116"/>
      <c r="AB47" s="114" t="str">
        <f t="shared" si="8"/>
        <v>0-20</v>
      </c>
      <c r="AC47" s="114">
        <f t="shared" si="9"/>
        <v>3844.3574443810608</v>
      </c>
      <c r="AD47" s="129"/>
      <c r="AE47" s="129" t="str">
        <f t="shared" si="39"/>
        <v>0-20</v>
      </c>
      <c r="AF47" s="129">
        <f t="shared" si="40"/>
        <v>3844.3574443810608</v>
      </c>
      <c r="AG47" s="138">
        <v>108</v>
      </c>
      <c r="AH47" s="138" t="str">
        <f t="shared" si="41"/>
        <v>81-110</v>
      </c>
      <c r="AI47" s="138">
        <f t="shared" si="42"/>
        <v>8747.8561594387575</v>
      </c>
      <c r="AJ47" s="36">
        <v>20</v>
      </c>
      <c r="AK47" s="36" t="str">
        <f t="shared" si="31"/>
        <v>0-20</v>
      </c>
      <c r="AL47" s="37">
        <f t="shared" si="32"/>
        <v>3844.3574443810608</v>
      </c>
      <c r="AM47" s="84">
        <v>47</v>
      </c>
      <c r="AN47" s="85" t="str">
        <f t="shared" si="43"/>
        <v>31-50</v>
      </c>
      <c r="AO47" s="122">
        <f t="shared" si="44"/>
        <v>5073.1976040297868</v>
      </c>
      <c r="AP47" s="133">
        <v>104</v>
      </c>
      <c r="AQ47" s="133" t="str">
        <f t="shared" si="18"/>
        <v>81-110</v>
      </c>
      <c r="AR47" s="133">
        <f t="shared" si="19"/>
        <v>8747.8561594387575</v>
      </c>
      <c r="AS47" s="131"/>
      <c r="AT47" s="131"/>
      <c r="AU47" s="41"/>
      <c r="AV47" s="41"/>
      <c r="AW47" s="41"/>
    </row>
    <row r="48" spans="1:49" x14ac:dyDescent="0.25">
      <c r="A48" s="32">
        <v>45</v>
      </c>
      <c r="B48" s="13" t="s">
        <v>21</v>
      </c>
      <c r="C48" s="11" t="s">
        <v>151</v>
      </c>
      <c r="D48" s="10" t="s">
        <v>931</v>
      </c>
      <c r="E48" s="11" t="s">
        <v>152</v>
      </c>
      <c r="F48" s="34" t="s">
        <v>1280</v>
      </c>
      <c r="G48" s="6" t="s">
        <v>99</v>
      </c>
      <c r="H48" s="33">
        <v>410206</v>
      </c>
      <c r="I48" s="90">
        <v>78</v>
      </c>
      <c r="J48" s="90" t="str">
        <f t="shared" si="47"/>
        <v>51-80</v>
      </c>
      <c r="K48" s="91">
        <f t="shared" si="48"/>
        <v>6509</v>
      </c>
      <c r="L48" s="35">
        <v>48</v>
      </c>
      <c r="M48" s="35" t="str">
        <f t="shared" si="29"/>
        <v>31-50</v>
      </c>
      <c r="N48" s="36">
        <f t="shared" si="30"/>
        <v>5073.1976040297868</v>
      </c>
      <c r="O48" s="51">
        <v>73</v>
      </c>
      <c r="P48" s="51" t="str">
        <f t="shared" si="20"/>
        <v>51-80</v>
      </c>
      <c r="Q48" s="51">
        <f t="shared" si="4"/>
        <v>6509</v>
      </c>
      <c r="R48" s="49">
        <v>48</v>
      </c>
      <c r="S48" s="49" t="str">
        <f t="shared" si="5"/>
        <v>31-50</v>
      </c>
      <c r="T48" s="49">
        <f t="shared" si="6"/>
        <v>5073.1976040297868</v>
      </c>
      <c r="U48" s="50">
        <v>46</v>
      </c>
      <c r="V48" s="50" t="str">
        <f t="shared" si="21"/>
        <v>31-50</v>
      </c>
      <c r="W48" s="50">
        <f t="shared" si="7"/>
        <v>5073.1976040297868</v>
      </c>
      <c r="X48" s="143">
        <v>0</v>
      </c>
      <c r="Y48" s="143" t="str">
        <f t="shared" si="22"/>
        <v>0-20</v>
      </c>
      <c r="Z48" s="143">
        <f t="shared" si="23"/>
        <v>3844.3574443810608</v>
      </c>
      <c r="AA48" s="116"/>
      <c r="AB48" s="114" t="str">
        <f t="shared" si="8"/>
        <v>0-20</v>
      </c>
      <c r="AC48" s="114">
        <f t="shared" si="9"/>
        <v>3844.3574443810608</v>
      </c>
      <c r="AD48" s="129"/>
      <c r="AE48" s="129" t="str">
        <f t="shared" si="39"/>
        <v>0-20</v>
      </c>
      <c r="AF48" s="129">
        <f t="shared" si="40"/>
        <v>3844.3574443810608</v>
      </c>
      <c r="AG48" s="139">
        <v>106</v>
      </c>
      <c r="AH48" s="138" t="str">
        <f t="shared" si="41"/>
        <v>81-110</v>
      </c>
      <c r="AI48" s="138">
        <f t="shared" si="42"/>
        <v>8747.8561594387575</v>
      </c>
      <c r="AJ48" s="36">
        <v>44</v>
      </c>
      <c r="AK48" s="36" t="str">
        <f t="shared" si="31"/>
        <v>31-50</v>
      </c>
      <c r="AL48" s="37">
        <f t="shared" si="32"/>
        <v>5073.1976040297868</v>
      </c>
      <c r="AM48" s="37"/>
      <c r="AN48" s="3" t="str">
        <f t="shared" si="43"/>
        <v>0-20</v>
      </c>
      <c r="AO48" s="119">
        <f t="shared" si="44"/>
        <v>3844.3574443810608</v>
      </c>
      <c r="AP48" s="133">
        <v>106</v>
      </c>
      <c r="AQ48" s="133" t="str">
        <f t="shared" si="18"/>
        <v>81-110</v>
      </c>
      <c r="AR48" s="133">
        <f t="shared" si="19"/>
        <v>8747.8561594387575</v>
      </c>
      <c r="AS48" s="131"/>
      <c r="AT48" s="131"/>
      <c r="AU48" s="41"/>
      <c r="AV48" s="41"/>
      <c r="AW48" s="41"/>
    </row>
    <row r="49" spans="1:49" x14ac:dyDescent="0.25">
      <c r="A49" s="32">
        <v>46</v>
      </c>
      <c r="B49" s="13" t="s">
        <v>21</v>
      </c>
      <c r="C49" s="11" t="s">
        <v>153</v>
      </c>
      <c r="D49" s="10" t="s">
        <v>932</v>
      </c>
      <c r="E49" s="11" t="s">
        <v>154</v>
      </c>
      <c r="F49" s="34" t="s">
        <v>848</v>
      </c>
      <c r="G49" s="6" t="s">
        <v>155</v>
      </c>
      <c r="H49" s="33">
        <v>401404</v>
      </c>
      <c r="I49" s="90">
        <v>191</v>
      </c>
      <c r="J49" s="90" t="str">
        <f t="shared" si="47"/>
        <v>110-130</v>
      </c>
      <c r="K49" s="91">
        <f t="shared" si="48"/>
        <v>10159.810450732197</v>
      </c>
      <c r="L49" s="99">
        <v>76</v>
      </c>
      <c r="M49" s="99" t="str">
        <f t="shared" si="29"/>
        <v>51-80</v>
      </c>
      <c r="N49" s="100">
        <f t="shared" si="30"/>
        <v>6509</v>
      </c>
      <c r="O49" s="51">
        <v>45</v>
      </c>
      <c r="P49" s="51" t="str">
        <f t="shared" si="20"/>
        <v>31-50</v>
      </c>
      <c r="Q49" s="51">
        <f t="shared" si="4"/>
        <v>5073.1976040297868</v>
      </c>
      <c r="R49" s="49">
        <v>87</v>
      </c>
      <c r="S49" s="49" t="str">
        <f t="shared" si="5"/>
        <v>81-110</v>
      </c>
      <c r="T49" s="49">
        <f t="shared" si="6"/>
        <v>8747.8561594387575</v>
      </c>
      <c r="U49" s="50">
        <v>102</v>
      </c>
      <c r="V49" s="50" t="str">
        <f t="shared" si="21"/>
        <v>81-110</v>
      </c>
      <c r="W49" s="50">
        <f t="shared" si="7"/>
        <v>8747.8561594387575</v>
      </c>
      <c r="X49" s="143">
        <v>68</v>
      </c>
      <c r="Y49" s="143" t="str">
        <f t="shared" si="22"/>
        <v>51-80</v>
      </c>
      <c r="Z49" s="143">
        <f t="shared" si="23"/>
        <v>6509</v>
      </c>
      <c r="AA49" s="116"/>
      <c r="AB49" s="114" t="str">
        <f t="shared" si="8"/>
        <v>0-20</v>
      </c>
      <c r="AC49" s="114">
        <f t="shared" si="9"/>
        <v>3844.3574443810608</v>
      </c>
      <c r="AD49" s="129">
        <v>65</v>
      </c>
      <c r="AE49" s="129" t="str">
        <f t="shared" si="39"/>
        <v>51-80</v>
      </c>
      <c r="AF49" s="129">
        <f t="shared" si="40"/>
        <v>6509</v>
      </c>
      <c r="AG49" s="138">
        <v>35</v>
      </c>
      <c r="AH49" s="138" t="str">
        <f t="shared" si="41"/>
        <v>31-50</v>
      </c>
      <c r="AI49" s="138">
        <f t="shared" si="42"/>
        <v>5073.1976040297868</v>
      </c>
      <c r="AJ49" s="36">
        <v>106</v>
      </c>
      <c r="AK49" s="36" t="str">
        <f t="shared" si="31"/>
        <v>81-110</v>
      </c>
      <c r="AL49" s="37">
        <f t="shared" si="32"/>
        <v>8747.8561594387575</v>
      </c>
      <c r="AM49" s="37">
        <v>136</v>
      </c>
      <c r="AN49" s="3" t="str">
        <f t="shared" si="43"/>
        <v>110-130</v>
      </c>
      <c r="AO49" s="119">
        <f t="shared" si="44"/>
        <v>10159.810450732197</v>
      </c>
      <c r="AP49" s="133">
        <v>25</v>
      </c>
      <c r="AQ49" s="133" t="str">
        <f t="shared" si="18"/>
        <v>21-30</v>
      </c>
      <c r="AR49" s="133">
        <f t="shared" si="19"/>
        <v>4508.6394748902885</v>
      </c>
      <c r="AS49" s="131"/>
      <c r="AT49" s="131"/>
      <c r="AU49" s="41"/>
      <c r="AV49" s="41"/>
      <c r="AW49" s="41"/>
    </row>
    <row r="50" spans="1:49" x14ac:dyDescent="0.25">
      <c r="A50" s="32">
        <v>47</v>
      </c>
      <c r="B50" s="13" t="s">
        <v>21</v>
      </c>
      <c r="C50" s="11" t="s">
        <v>156</v>
      </c>
      <c r="D50" s="10" t="s">
        <v>933</v>
      </c>
      <c r="E50" s="11" t="s">
        <v>157</v>
      </c>
      <c r="F50" s="34" t="s">
        <v>158</v>
      </c>
      <c r="G50" s="6" t="s">
        <v>159</v>
      </c>
      <c r="H50" s="33">
        <v>402401</v>
      </c>
      <c r="I50" s="90">
        <v>137</v>
      </c>
      <c r="J50" s="90" t="str">
        <f t="shared" si="47"/>
        <v>110-130</v>
      </c>
      <c r="K50" s="91">
        <f t="shared" si="48"/>
        <v>10159.810450732197</v>
      </c>
      <c r="L50" s="35">
        <v>146</v>
      </c>
      <c r="M50" s="35" t="str">
        <f t="shared" si="29"/>
        <v>110-130</v>
      </c>
      <c r="N50" s="36">
        <f t="shared" si="30"/>
        <v>10159.810450732197</v>
      </c>
      <c r="O50" s="51">
        <v>171</v>
      </c>
      <c r="P50" s="51" t="str">
        <f t="shared" si="20"/>
        <v>110-130</v>
      </c>
      <c r="Q50" s="51">
        <f t="shared" si="4"/>
        <v>10159.810450732197</v>
      </c>
      <c r="R50" s="49">
        <v>152</v>
      </c>
      <c r="S50" s="49" t="str">
        <f t="shared" si="5"/>
        <v>110-130</v>
      </c>
      <c r="T50" s="49">
        <f t="shared" si="6"/>
        <v>10159.810450732197</v>
      </c>
      <c r="U50" s="50">
        <v>155</v>
      </c>
      <c r="V50" s="50" t="str">
        <f t="shared" si="21"/>
        <v>110-130</v>
      </c>
      <c r="W50" s="50">
        <f t="shared" si="7"/>
        <v>10159.810450732197</v>
      </c>
      <c r="X50" s="143">
        <v>170</v>
      </c>
      <c r="Y50" s="143" t="str">
        <f t="shared" si="22"/>
        <v>110-130</v>
      </c>
      <c r="Z50" s="143">
        <f t="shared" si="23"/>
        <v>10159.810450732197</v>
      </c>
      <c r="AA50" s="116"/>
      <c r="AB50" s="114" t="str">
        <f t="shared" si="8"/>
        <v>0-20</v>
      </c>
      <c r="AC50" s="114">
        <f t="shared" si="9"/>
        <v>3844.3574443810608</v>
      </c>
      <c r="AD50" s="129"/>
      <c r="AE50" s="129" t="str">
        <f t="shared" si="39"/>
        <v>0-20</v>
      </c>
      <c r="AF50" s="129">
        <f t="shared" si="40"/>
        <v>3844.3574443810608</v>
      </c>
      <c r="AG50" s="138"/>
      <c r="AH50" s="138" t="str">
        <f t="shared" si="41"/>
        <v>0-20</v>
      </c>
      <c r="AI50" s="138">
        <f t="shared" si="42"/>
        <v>3844.3574443810608</v>
      </c>
      <c r="AJ50" s="36">
        <v>153</v>
      </c>
      <c r="AK50" s="36" t="str">
        <f t="shared" si="31"/>
        <v>110-130</v>
      </c>
      <c r="AL50" s="37">
        <f t="shared" si="32"/>
        <v>10159.810450732197</v>
      </c>
      <c r="AM50" s="37"/>
      <c r="AN50" s="3" t="str">
        <f t="shared" si="43"/>
        <v>0-20</v>
      </c>
      <c r="AO50" s="119">
        <f t="shared" si="44"/>
        <v>3844.3574443810608</v>
      </c>
      <c r="AP50" s="133">
        <v>219</v>
      </c>
      <c r="AQ50" s="133" t="str">
        <f t="shared" si="18"/>
        <v>110-130</v>
      </c>
      <c r="AR50" s="133">
        <f t="shared" si="19"/>
        <v>10159.810450732197</v>
      </c>
      <c r="AS50" s="131"/>
      <c r="AT50" s="131"/>
      <c r="AU50" s="41"/>
      <c r="AV50" s="41"/>
      <c r="AW50" s="41"/>
    </row>
    <row r="51" spans="1:49" x14ac:dyDescent="0.25">
      <c r="A51" s="32">
        <v>48</v>
      </c>
      <c r="B51" s="13" t="s">
        <v>21</v>
      </c>
      <c r="C51" s="11" t="s">
        <v>160</v>
      </c>
      <c r="D51" s="10">
        <v>0</v>
      </c>
      <c r="E51" s="11" t="s">
        <v>161</v>
      </c>
      <c r="F51" s="34" t="s">
        <v>162</v>
      </c>
      <c r="G51" s="6" t="s">
        <v>114</v>
      </c>
      <c r="H51" s="33">
        <v>401203</v>
      </c>
      <c r="I51" s="90">
        <v>151</v>
      </c>
      <c r="J51" s="90" t="str">
        <f t="shared" si="47"/>
        <v>110-130</v>
      </c>
      <c r="K51" s="91">
        <f t="shared" si="48"/>
        <v>10159.810450732197</v>
      </c>
      <c r="L51" s="35">
        <v>46</v>
      </c>
      <c r="M51" s="35" t="str">
        <f t="shared" si="29"/>
        <v>31-50</v>
      </c>
      <c r="N51" s="36">
        <f t="shared" si="30"/>
        <v>5073.1976040297868</v>
      </c>
      <c r="O51" s="51">
        <v>13</v>
      </c>
      <c r="P51" s="51" t="str">
        <f t="shared" si="20"/>
        <v>0-20</v>
      </c>
      <c r="Q51" s="51">
        <f t="shared" si="4"/>
        <v>3844.3574443810608</v>
      </c>
      <c r="R51" s="49">
        <v>46</v>
      </c>
      <c r="S51" s="49" t="str">
        <f t="shared" si="5"/>
        <v>31-50</v>
      </c>
      <c r="T51" s="49">
        <f t="shared" si="6"/>
        <v>5073.1976040297868</v>
      </c>
      <c r="U51" s="50">
        <v>60</v>
      </c>
      <c r="V51" s="50" t="str">
        <f t="shared" si="21"/>
        <v>51-80</v>
      </c>
      <c r="W51" s="50">
        <f t="shared" si="7"/>
        <v>6509</v>
      </c>
      <c r="X51" s="143" t="s">
        <v>1458</v>
      </c>
      <c r="Y51" s="143" t="e">
        <f t="shared" si="22"/>
        <v>#N/A</v>
      </c>
      <c r="Z51" s="143" t="e">
        <f t="shared" si="23"/>
        <v>#N/A</v>
      </c>
      <c r="AA51" s="116"/>
      <c r="AB51" s="114" t="str">
        <f t="shared" si="8"/>
        <v>0-20</v>
      </c>
      <c r="AC51" s="114">
        <f t="shared" si="9"/>
        <v>3844.3574443810608</v>
      </c>
      <c r="AD51" s="129"/>
      <c r="AE51" s="129" t="str">
        <f t="shared" si="39"/>
        <v>0-20</v>
      </c>
      <c r="AF51" s="129">
        <f t="shared" si="40"/>
        <v>3844.3574443810608</v>
      </c>
      <c r="AG51" s="138">
        <v>59</v>
      </c>
      <c r="AH51" s="138" t="str">
        <f t="shared" si="41"/>
        <v>51-80</v>
      </c>
      <c r="AI51" s="138">
        <f t="shared" si="42"/>
        <v>6509</v>
      </c>
      <c r="AJ51" s="36">
        <v>70</v>
      </c>
      <c r="AK51" s="36" t="str">
        <f t="shared" si="31"/>
        <v>51-80</v>
      </c>
      <c r="AL51" s="37">
        <f t="shared" si="32"/>
        <v>6509</v>
      </c>
      <c r="AM51" s="37"/>
      <c r="AN51" s="3" t="str">
        <f t="shared" si="43"/>
        <v>0-20</v>
      </c>
      <c r="AO51" s="119">
        <f t="shared" si="44"/>
        <v>3844.3574443810608</v>
      </c>
      <c r="AP51" s="133"/>
      <c r="AQ51" s="133" t="str">
        <f t="shared" si="18"/>
        <v>0-20</v>
      </c>
      <c r="AR51" s="133">
        <f t="shared" si="19"/>
        <v>3844.3574443810608</v>
      </c>
      <c r="AS51" s="131"/>
      <c r="AT51" s="131"/>
      <c r="AU51" s="41"/>
      <c r="AV51" s="41"/>
      <c r="AW51" s="41"/>
    </row>
    <row r="52" spans="1:49" x14ac:dyDescent="0.25">
      <c r="A52" s="32">
        <v>49</v>
      </c>
      <c r="B52" s="13" t="s">
        <v>21</v>
      </c>
      <c r="C52" s="11" t="s">
        <v>166</v>
      </c>
      <c r="D52" s="10">
        <v>0</v>
      </c>
      <c r="E52" s="11" t="s">
        <v>167</v>
      </c>
      <c r="F52" s="34" t="s">
        <v>168</v>
      </c>
      <c r="G52" s="6" t="s">
        <v>103</v>
      </c>
      <c r="H52" s="33">
        <v>401203</v>
      </c>
      <c r="I52" s="90">
        <v>151</v>
      </c>
      <c r="J52" s="90" t="str">
        <f t="shared" si="47"/>
        <v>110-130</v>
      </c>
      <c r="K52" s="91">
        <f t="shared" si="48"/>
        <v>10159.810450732197</v>
      </c>
      <c r="L52" s="35">
        <v>46</v>
      </c>
      <c r="M52" s="35" t="str">
        <f t="shared" si="29"/>
        <v>31-50</v>
      </c>
      <c r="N52" s="36">
        <f t="shared" si="30"/>
        <v>5073.1976040297868</v>
      </c>
      <c r="O52" s="51">
        <v>12</v>
      </c>
      <c r="P52" s="51" t="str">
        <f t="shared" si="20"/>
        <v>0-20</v>
      </c>
      <c r="Q52" s="51">
        <f t="shared" si="4"/>
        <v>3844.3574443810608</v>
      </c>
      <c r="R52" s="49">
        <v>50</v>
      </c>
      <c r="S52" s="49" t="str">
        <f t="shared" si="5"/>
        <v>31-50</v>
      </c>
      <c r="T52" s="49">
        <f t="shared" si="6"/>
        <v>5073.1976040297868</v>
      </c>
      <c r="U52" s="50">
        <v>62</v>
      </c>
      <c r="V52" s="50" t="str">
        <f t="shared" si="21"/>
        <v>51-80</v>
      </c>
      <c r="W52" s="50">
        <f t="shared" si="7"/>
        <v>6509</v>
      </c>
      <c r="X52" s="143" t="s">
        <v>1458</v>
      </c>
      <c r="Y52" s="143" t="e">
        <f t="shared" si="22"/>
        <v>#N/A</v>
      </c>
      <c r="Z52" s="143" t="e">
        <f t="shared" si="23"/>
        <v>#N/A</v>
      </c>
      <c r="AA52" s="116"/>
      <c r="AB52" s="114" t="str">
        <f t="shared" si="8"/>
        <v>0-20</v>
      </c>
      <c r="AC52" s="114">
        <f t="shared" si="9"/>
        <v>3844.3574443810608</v>
      </c>
      <c r="AD52" s="129"/>
      <c r="AE52" s="129" t="str">
        <f t="shared" si="39"/>
        <v>0-20</v>
      </c>
      <c r="AF52" s="129">
        <f t="shared" si="40"/>
        <v>3844.3574443810608</v>
      </c>
      <c r="AG52" s="138">
        <v>59</v>
      </c>
      <c r="AH52" s="138" t="str">
        <f t="shared" si="41"/>
        <v>51-80</v>
      </c>
      <c r="AI52" s="138">
        <f t="shared" si="42"/>
        <v>6509</v>
      </c>
      <c r="AJ52" s="36">
        <v>65</v>
      </c>
      <c r="AK52" s="36" t="str">
        <f t="shared" si="31"/>
        <v>51-80</v>
      </c>
      <c r="AL52" s="37">
        <f t="shared" si="32"/>
        <v>6509</v>
      </c>
      <c r="AM52" s="37"/>
      <c r="AN52" s="3" t="str">
        <f t="shared" si="43"/>
        <v>0-20</v>
      </c>
      <c r="AO52" s="119">
        <f t="shared" si="44"/>
        <v>3844.3574443810608</v>
      </c>
      <c r="AP52" s="133"/>
      <c r="AQ52" s="133" t="str">
        <f t="shared" si="18"/>
        <v>0-20</v>
      </c>
      <c r="AR52" s="133">
        <f t="shared" si="19"/>
        <v>3844.3574443810608</v>
      </c>
      <c r="AS52" s="131"/>
      <c r="AT52" s="131"/>
      <c r="AU52" s="41"/>
      <c r="AV52" s="41"/>
      <c r="AW52" s="41"/>
    </row>
    <row r="53" spans="1:49" x14ac:dyDescent="0.25">
      <c r="A53" s="32">
        <v>50</v>
      </c>
      <c r="B53" s="13" t="s">
        <v>21</v>
      </c>
      <c r="C53" s="11" t="s">
        <v>169</v>
      </c>
      <c r="D53" s="10" t="s">
        <v>934</v>
      </c>
      <c r="E53" s="11" t="s">
        <v>170</v>
      </c>
      <c r="F53" s="34" t="s">
        <v>1281</v>
      </c>
      <c r="G53" s="6" t="s">
        <v>171</v>
      </c>
      <c r="H53" s="33">
        <v>421301</v>
      </c>
      <c r="I53" s="90">
        <v>109</v>
      </c>
      <c r="J53" s="90" t="str">
        <f t="shared" si="47"/>
        <v>81-110</v>
      </c>
      <c r="K53" s="91">
        <f t="shared" si="48"/>
        <v>8747.8561594387575</v>
      </c>
      <c r="L53" s="99">
        <v>25</v>
      </c>
      <c r="M53" s="99" t="str">
        <f t="shared" si="29"/>
        <v>21-30</v>
      </c>
      <c r="N53" s="100">
        <f t="shared" si="30"/>
        <v>4508.6394748902885</v>
      </c>
      <c r="O53" s="51">
        <v>60</v>
      </c>
      <c r="P53" s="51" t="str">
        <f t="shared" si="20"/>
        <v>51-80</v>
      </c>
      <c r="Q53" s="51">
        <f t="shared" si="4"/>
        <v>6509</v>
      </c>
      <c r="R53" s="49">
        <v>44</v>
      </c>
      <c r="S53" s="49" t="str">
        <f t="shared" si="5"/>
        <v>31-50</v>
      </c>
      <c r="T53" s="49">
        <f t="shared" si="6"/>
        <v>5073.1976040297868</v>
      </c>
      <c r="U53" s="50">
        <v>40</v>
      </c>
      <c r="V53" s="50" t="str">
        <f t="shared" si="21"/>
        <v>31-50</v>
      </c>
      <c r="W53" s="50">
        <f t="shared" si="7"/>
        <v>5073.1976040297868</v>
      </c>
      <c r="X53" s="143" t="s">
        <v>1458</v>
      </c>
      <c r="Y53" s="143" t="e">
        <f t="shared" si="22"/>
        <v>#N/A</v>
      </c>
      <c r="Z53" s="143" t="e">
        <f t="shared" si="23"/>
        <v>#N/A</v>
      </c>
      <c r="AA53" s="116"/>
      <c r="AB53" s="114" t="str">
        <f t="shared" si="8"/>
        <v>0-20</v>
      </c>
      <c r="AC53" s="114">
        <f t="shared" si="9"/>
        <v>3844.3574443810608</v>
      </c>
      <c r="AD53" s="129">
        <v>5</v>
      </c>
      <c r="AE53" s="129" t="str">
        <f>VLOOKUP(AD53,$AV$4:$AW$9,2,1)</f>
        <v>0-20</v>
      </c>
      <c r="AF53" s="129">
        <f>VLOOKUP(AE53,$AW$3:$AX$9,2,0)</f>
        <v>3844.3574443810608</v>
      </c>
      <c r="AG53" s="138">
        <v>80</v>
      </c>
      <c r="AH53" s="138" t="str">
        <f t="shared" si="41"/>
        <v>51-80</v>
      </c>
      <c r="AI53" s="138">
        <f t="shared" si="42"/>
        <v>6509</v>
      </c>
      <c r="AJ53" s="36">
        <v>11</v>
      </c>
      <c r="AK53" s="36" t="str">
        <f t="shared" si="31"/>
        <v>0-20</v>
      </c>
      <c r="AL53" s="37">
        <f t="shared" si="32"/>
        <v>3844.3574443810608</v>
      </c>
      <c r="AM53" s="37">
        <v>66</v>
      </c>
      <c r="AN53" s="3" t="str">
        <f t="shared" si="43"/>
        <v>51-80</v>
      </c>
      <c r="AO53" s="119">
        <f t="shared" si="44"/>
        <v>6509</v>
      </c>
      <c r="AP53" s="133">
        <v>64</v>
      </c>
      <c r="AQ53" s="133" t="str">
        <f t="shared" si="18"/>
        <v>51-80</v>
      </c>
      <c r="AR53" s="133">
        <f t="shared" si="19"/>
        <v>6509</v>
      </c>
      <c r="AS53" s="131"/>
      <c r="AT53" s="131"/>
      <c r="AU53" s="41"/>
      <c r="AV53" s="41"/>
      <c r="AW53" s="41"/>
    </row>
    <row r="54" spans="1:49" x14ac:dyDescent="0.25">
      <c r="A54" s="32">
        <v>51</v>
      </c>
      <c r="B54" s="13" t="s">
        <v>21</v>
      </c>
      <c r="C54" s="11" t="s">
        <v>172</v>
      </c>
      <c r="D54" s="10">
        <v>0</v>
      </c>
      <c r="E54" s="11" t="s">
        <v>173</v>
      </c>
      <c r="F54" s="34" t="s">
        <v>174</v>
      </c>
      <c r="G54" s="6" t="s">
        <v>175</v>
      </c>
      <c r="H54" s="33">
        <v>402103</v>
      </c>
      <c r="I54" s="90">
        <v>138</v>
      </c>
      <c r="J54" s="90" t="str">
        <f t="shared" si="47"/>
        <v>110-130</v>
      </c>
      <c r="K54" s="91">
        <f t="shared" si="48"/>
        <v>10159.810450732197</v>
      </c>
      <c r="L54" s="35">
        <v>156</v>
      </c>
      <c r="M54" s="35" t="str">
        <f t="shared" si="29"/>
        <v>110-130</v>
      </c>
      <c r="N54" s="36">
        <f t="shared" si="30"/>
        <v>10159.810450732197</v>
      </c>
      <c r="O54" s="51">
        <v>184</v>
      </c>
      <c r="P54" s="51" t="str">
        <f t="shared" si="20"/>
        <v>110-130</v>
      </c>
      <c r="Q54" s="51">
        <f t="shared" si="4"/>
        <v>10159.810450732197</v>
      </c>
      <c r="R54" s="49">
        <v>167</v>
      </c>
      <c r="S54" s="49" t="str">
        <f t="shared" si="5"/>
        <v>110-130</v>
      </c>
      <c r="T54" s="49">
        <f t="shared" si="6"/>
        <v>10159.810450732197</v>
      </c>
      <c r="U54" s="50">
        <v>142</v>
      </c>
      <c r="V54" s="50" t="str">
        <f t="shared" si="21"/>
        <v>110-130</v>
      </c>
      <c r="W54" s="50">
        <f t="shared" si="7"/>
        <v>10159.810450732197</v>
      </c>
      <c r="X54" s="143" t="s">
        <v>1458</v>
      </c>
      <c r="Y54" s="143" t="e">
        <f t="shared" si="22"/>
        <v>#N/A</v>
      </c>
      <c r="Z54" s="143" t="e">
        <f t="shared" si="23"/>
        <v>#N/A</v>
      </c>
      <c r="AA54" s="116"/>
      <c r="AB54" s="114" t="str">
        <f t="shared" si="8"/>
        <v>0-20</v>
      </c>
      <c r="AC54" s="114">
        <f t="shared" si="9"/>
        <v>3844.3574443810608</v>
      </c>
      <c r="AD54" s="129"/>
      <c r="AE54" s="129" t="str">
        <f t="shared" ref="AE54:AE62" si="49">VLOOKUP(AD54,$AV$4:$AW$9,2,1)</f>
        <v>0-20</v>
      </c>
      <c r="AF54" s="129">
        <f t="shared" ref="AF54:AF62" si="50">VLOOKUP(AE54,$AW$3:$AX$9,2,0)</f>
        <v>3844.3574443810608</v>
      </c>
      <c r="AG54" s="138"/>
      <c r="AH54" s="138" t="str">
        <f t="shared" si="41"/>
        <v>0-20</v>
      </c>
      <c r="AI54" s="138">
        <f t="shared" si="42"/>
        <v>3844.3574443810608</v>
      </c>
      <c r="AJ54" s="36">
        <v>141</v>
      </c>
      <c r="AK54" s="36" t="str">
        <f t="shared" si="31"/>
        <v>110-130</v>
      </c>
      <c r="AL54" s="37">
        <f t="shared" si="32"/>
        <v>10159.810450732197</v>
      </c>
      <c r="AM54" s="37"/>
      <c r="AN54" s="3" t="str">
        <f t="shared" si="43"/>
        <v>0-20</v>
      </c>
      <c r="AO54" s="119">
        <f t="shared" si="44"/>
        <v>3844.3574443810608</v>
      </c>
      <c r="AP54" s="133">
        <v>226</v>
      </c>
      <c r="AQ54" s="133" t="str">
        <f t="shared" si="18"/>
        <v>110-130</v>
      </c>
      <c r="AR54" s="133">
        <f t="shared" si="19"/>
        <v>10159.810450732197</v>
      </c>
      <c r="AS54" s="131"/>
      <c r="AT54" s="131"/>
      <c r="AU54" s="41"/>
      <c r="AV54" s="41"/>
      <c r="AW54" s="41"/>
    </row>
    <row r="55" spans="1:49" x14ac:dyDescent="0.25">
      <c r="A55" s="32">
        <v>52</v>
      </c>
      <c r="B55" s="13" t="s">
        <v>21</v>
      </c>
      <c r="C55" s="11" t="s">
        <v>528</v>
      </c>
      <c r="D55" s="10" t="s">
        <v>935</v>
      </c>
      <c r="E55" s="11" t="s">
        <v>529</v>
      </c>
      <c r="F55" s="34" t="s">
        <v>1282</v>
      </c>
      <c r="G55" s="6" t="s">
        <v>530</v>
      </c>
      <c r="H55" s="33">
        <v>400614</v>
      </c>
      <c r="I55" s="90">
        <v>85</v>
      </c>
      <c r="J55" s="90" t="str">
        <f t="shared" si="47"/>
        <v>81-110</v>
      </c>
      <c r="K55" s="91">
        <f t="shared" si="48"/>
        <v>8747.8561594387575</v>
      </c>
      <c r="L55" s="35">
        <v>26</v>
      </c>
      <c r="M55" s="35" t="str">
        <f t="shared" si="29"/>
        <v>21-30</v>
      </c>
      <c r="N55" s="36">
        <f t="shared" si="30"/>
        <v>4508.6394748902885</v>
      </c>
      <c r="O55" s="51">
        <v>64</v>
      </c>
      <c r="P55" s="51" t="str">
        <f t="shared" si="20"/>
        <v>51-80</v>
      </c>
      <c r="Q55" s="51">
        <f t="shared" si="4"/>
        <v>6509</v>
      </c>
      <c r="R55" s="49">
        <v>34</v>
      </c>
      <c r="S55" s="49" t="str">
        <f t="shared" si="5"/>
        <v>31-50</v>
      </c>
      <c r="T55" s="49">
        <f t="shared" si="6"/>
        <v>5073.1976040297868</v>
      </c>
      <c r="U55" s="50">
        <v>25</v>
      </c>
      <c r="V55" s="50" t="str">
        <f t="shared" si="21"/>
        <v>21-30</v>
      </c>
      <c r="W55" s="50">
        <f t="shared" si="7"/>
        <v>4508.6394748902885</v>
      </c>
      <c r="X55" s="143" t="s">
        <v>1458</v>
      </c>
      <c r="Y55" s="143" t="e">
        <f t="shared" si="22"/>
        <v>#N/A</v>
      </c>
      <c r="Z55" s="143" t="e">
        <f t="shared" si="23"/>
        <v>#N/A</v>
      </c>
      <c r="AA55" s="116"/>
      <c r="AB55" s="114" t="str">
        <f t="shared" si="8"/>
        <v>0-20</v>
      </c>
      <c r="AC55" s="114">
        <f t="shared" si="9"/>
        <v>3844.3574443810608</v>
      </c>
      <c r="AD55" s="129"/>
      <c r="AE55" s="129" t="str">
        <f t="shared" si="49"/>
        <v>0-20</v>
      </c>
      <c r="AF55" s="129">
        <f t="shared" si="50"/>
        <v>3844.3574443810608</v>
      </c>
      <c r="AG55" s="138">
        <v>110</v>
      </c>
      <c r="AH55" s="138" t="str">
        <f t="shared" si="41"/>
        <v>110-130</v>
      </c>
      <c r="AI55" s="138">
        <f t="shared" si="42"/>
        <v>10159.810450732197</v>
      </c>
      <c r="AJ55" s="36">
        <v>25</v>
      </c>
      <c r="AK55" s="36" t="str">
        <f t="shared" si="31"/>
        <v>21-30</v>
      </c>
      <c r="AL55" s="37">
        <f t="shared" si="32"/>
        <v>4508.6394748902885</v>
      </c>
      <c r="AM55" s="84">
        <v>45</v>
      </c>
      <c r="AN55" s="85" t="str">
        <f t="shared" si="43"/>
        <v>31-50</v>
      </c>
      <c r="AO55" s="122">
        <f t="shared" si="44"/>
        <v>5073.1976040297868</v>
      </c>
      <c r="AP55" s="133">
        <v>103</v>
      </c>
      <c r="AQ55" s="133" t="str">
        <f t="shared" si="18"/>
        <v>81-110</v>
      </c>
      <c r="AR55" s="133">
        <f t="shared" si="19"/>
        <v>8747.8561594387575</v>
      </c>
      <c r="AS55" s="131"/>
      <c r="AT55" s="131"/>
      <c r="AU55" s="41"/>
      <c r="AV55" s="41"/>
      <c r="AW55" s="41"/>
    </row>
    <row r="56" spans="1:49" x14ac:dyDescent="0.25">
      <c r="A56" s="32">
        <v>53</v>
      </c>
      <c r="B56" s="13" t="s">
        <v>21</v>
      </c>
      <c r="C56" s="11" t="s">
        <v>184</v>
      </c>
      <c r="D56" s="10">
        <v>0</v>
      </c>
      <c r="E56" s="11" t="s">
        <v>185</v>
      </c>
      <c r="F56" s="72" t="s">
        <v>186</v>
      </c>
      <c r="G56" s="6" t="s">
        <v>183</v>
      </c>
      <c r="H56" s="33">
        <v>410203</v>
      </c>
      <c r="I56" s="90">
        <v>45</v>
      </c>
      <c r="J56" s="90" t="str">
        <f t="shared" si="47"/>
        <v>31-50</v>
      </c>
      <c r="K56" s="91">
        <f t="shared" si="48"/>
        <v>5073.1976040297868</v>
      </c>
      <c r="L56" s="35">
        <v>74</v>
      </c>
      <c r="M56" s="35" t="str">
        <f t="shared" si="29"/>
        <v>51-80</v>
      </c>
      <c r="N56" s="36">
        <f t="shared" si="30"/>
        <v>6509</v>
      </c>
      <c r="O56" s="51">
        <v>96</v>
      </c>
      <c r="P56" s="51" t="str">
        <f t="shared" si="20"/>
        <v>81-110</v>
      </c>
      <c r="Q56" s="51">
        <f t="shared" si="4"/>
        <v>8747.8561594387575</v>
      </c>
      <c r="R56" s="49">
        <v>82</v>
      </c>
      <c r="S56" s="49" t="str">
        <f t="shared" si="5"/>
        <v>81-110</v>
      </c>
      <c r="T56" s="49">
        <f t="shared" si="6"/>
        <v>8747.8561594387575</v>
      </c>
      <c r="U56" s="50">
        <v>62</v>
      </c>
      <c r="V56" s="50" t="str">
        <f t="shared" si="21"/>
        <v>51-80</v>
      </c>
      <c r="W56" s="50">
        <f t="shared" si="7"/>
        <v>6509</v>
      </c>
      <c r="X56" s="143" t="s">
        <v>1458</v>
      </c>
      <c r="Y56" s="143" t="e">
        <f t="shared" si="22"/>
        <v>#N/A</v>
      </c>
      <c r="Z56" s="143" t="e">
        <f t="shared" si="23"/>
        <v>#N/A</v>
      </c>
      <c r="AA56" s="116"/>
      <c r="AB56" s="114" t="str">
        <f t="shared" si="8"/>
        <v>0-20</v>
      </c>
      <c r="AC56" s="114">
        <f t="shared" si="9"/>
        <v>3844.3574443810608</v>
      </c>
      <c r="AD56" s="129"/>
      <c r="AE56" s="129" t="str">
        <f t="shared" si="49"/>
        <v>0-20</v>
      </c>
      <c r="AF56" s="129">
        <f t="shared" si="50"/>
        <v>3844.3574443810608</v>
      </c>
      <c r="AG56" s="138"/>
      <c r="AH56" s="138" t="str">
        <f t="shared" si="41"/>
        <v>0-20</v>
      </c>
      <c r="AI56" s="138">
        <f t="shared" si="42"/>
        <v>3844.3574443810608</v>
      </c>
      <c r="AJ56" s="36">
        <v>61</v>
      </c>
      <c r="AK56" s="36" t="str">
        <f t="shared" si="31"/>
        <v>51-80</v>
      </c>
      <c r="AL56" s="37">
        <f t="shared" si="32"/>
        <v>6509</v>
      </c>
      <c r="AM56" s="82">
        <v>4</v>
      </c>
      <c r="AN56" s="83" t="str">
        <f t="shared" si="43"/>
        <v>0-20</v>
      </c>
      <c r="AO56" s="121">
        <f t="shared" si="44"/>
        <v>3844.3574443810608</v>
      </c>
      <c r="AP56" s="133"/>
      <c r="AQ56" s="133" t="str">
        <f t="shared" si="18"/>
        <v>0-20</v>
      </c>
      <c r="AR56" s="133">
        <f t="shared" si="19"/>
        <v>3844.3574443810608</v>
      </c>
      <c r="AS56" s="131"/>
      <c r="AT56" s="131"/>
      <c r="AU56" s="41"/>
      <c r="AV56" s="41"/>
      <c r="AW56" s="41"/>
    </row>
    <row r="57" spans="1:49" x14ac:dyDescent="0.25">
      <c r="A57" s="32">
        <v>54</v>
      </c>
      <c r="B57" s="13" t="s">
        <v>21</v>
      </c>
      <c r="C57" s="11" t="s">
        <v>180</v>
      </c>
      <c r="D57" s="10">
        <v>0</v>
      </c>
      <c r="E57" s="11" t="s">
        <v>181</v>
      </c>
      <c r="F57" s="34" t="s">
        <v>182</v>
      </c>
      <c r="G57" s="6" t="s">
        <v>183</v>
      </c>
      <c r="H57" s="33">
        <v>410203</v>
      </c>
      <c r="I57" s="90">
        <v>45</v>
      </c>
      <c r="J57" s="90" t="str">
        <f t="shared" si="47"/>
        <v>31-50</v>
      </c>
      <c r="K57" s="91">
        <f t="shared" si="48"/>
        <v>5073.1976040297868</v>
      </c>
      <c r="L57" s="35">
        <v>74</v>
      </c>
      <c r="M57" s="35" t="str">
        <f t="shared" si="29"/>
        <v>51-80</v>
      </c>
      <c r="N57" s="36">
        <f t="shared" si="30"/>
        <v>6509</v>
      </c>
      <c r="O57" s="51">
        <v>96</v>
      </c>
      <c r="P57" s="51" t="str">
        <f t="shared" si="20"/>
        <v>81-110</v>
      </c>
      <c r="Q57" s="51">
        <f t="shared" si="4"/>
        <v>8747.8561594387575</v>
      </c>
      <c r="R57" s="49">
        <v>82</v>
      </c>
      <c r="S57" s="49" t="str">
        <f t="shared" si="5"/>
        <v>81-110</v>
      </c>
      <c r="T57" s="49">
        <f t="shared" si="6"/>
        <v>8747.8561594387575</v>
      </c>
      <c r="U57" s="50">
        <v>62</v>
      </c>
      <c r="V57" s="50" t="str">
        <f t="shared" si="21"/>
        <v>51-80</v>
      </c>
      <c r="W57" s="50">
        <f t="shared" si="7"/>
        <v>6509</v>
      </c>
      <c r="X57" s="143" t="s">
        <v>1458</v>
      </c>
      <c r="Y57" s="143" t="e">
        <f t="shared" si="22"/>
        <v>#N/A</v>
      </c>
      <c r="Z57" s="143" t="e">
        <f t="shared" si="23"/>
        <v>#N/A</v>
      </c>
      <c r="AA57" s="116"/>
      <c r="AB57" s="114" t="str">
        <f t="shared" si="8"/>
        <v>0-20</v>
      </c>
      <c r="AC57" s="114">
        <f t="shared" si="9"/>
        <v>3844.3574443810608</v>
      </c>
      <c r="AD57" s="129"/>
      <c r="AE57" s="129" t="str">
        <f t="shared" si="49"/>
        <v>0-20</v>
      </c>
      <c r="AF57" s="129">
        <f t="shared" si="50"/>
        <v>3844.3574443810608</v>
      </c>
      <c r="AG57" s="138"/>
      <c r="AH57" s="138" t="str">
        <f t="shared" si="41"/>
        <v>0-20</v>
      </c>
      <c r="AI57" s="138">
        <f t="shared" si="42"/>
        <v>3844.3574443810608</v>
      </c>
      <c r="AJ57" s="36">
        <v>61</v>
      </c>
      <c r="AK57" s="36" t="str">
        <f t="shared" si="31"/>
        <v>51-80</v>
      </c>
      <c r="AL57" s="37">
        <f t="shared" si="32"/>
        <v>6509</v>
      </c>
      <c r="AM57" s="82">
        <v>4</v>
      </c>
      <c r="AN57" s="83" t="str">
        <f t="shared" si="43"/>
        <v>0-20</v>
      </c>
      <c r="AO57" s="121">
        <f t="shared" si="44"/>
        <v>3844.3574443810608</v>
      </c>
      <c r="AP57" s="133"/>
      <c r="AQ57" s="133" t="str">
        <f t="shared" si="18"/>
        <v>0-20</v>
      </c>
      <c r="AR57" s="133">
        <f t="shared" si="19"/>
        <v>3844.3574443810608</v>
      </c>
      <c r="AS57" s="131"/>
      <c r="AT57" s="131"/>
      <c r="AU57" s="41"/>
      <c r="AV57" s="41"/>
      <c r="AW57" s="41"/>
    </row>
    <row r="58" spans="1:49" x14ac:dyDescent="0.25">
      <c r="A58" s="32">
        <v>55</v>
      </c>
      <c r="B58" s="13" t="s">
        <v>21</v>
      </c>
      <c r="C58" s="11" t="s">
        <v>176</v>
      </c>
      <c r="D58" s="10" t="s">
        <v>936</v>
      </c>
      <c r="E58" s="11" t="s">
        <v>177</v>
      </c>
      <c r="F58" s="34" t="s">
        <v>178</v>
      </c>
      <c r="G58" s="6" t="s">
        <v>179</v>
      </c>
      <c r="H58" s="33">
        <v>410201</v>
      </c>
      <c r="I58" s="90">
        <v>67</v>
      </c>
      <c r="J58" s="90" t="str">
        <f t="shared" si="47"/>
        <v>51-80</v>
      </c>
      <c r="K58" s="91">
        <f t="shared" si="48"/>
        <v>6509</v>
      </c>
      <c r="L58" s="35">
        <v>73</v>
      </c>
      <c r="M58" s="35" t="str">
        <f t="shared" si="29"/>
        <v>51-80</v>
      </c>
      <c r="N58" s="36">
        <f t="shared" si="30"/>
        <v>6509</v>
      </c>
      <c r="O58" s="51">
        <v>98</v>
      </c>
      <c r="P58" s="51" t="str">
        <f t="shared" si="20"/>
        <v>81-110</v>
      </c>
      <c r="Q58" s="51">
        <f t="shared" si="4"/>
        <v>8747.8561594387575</v>
      </c>
      <c r="R58" s="49">
        <v>82</v>
      </c>
      <c r="S58" s="49" t="str">
        <f t="shared" si="5"/>
        <v>81-110</v>
      </c>
      <c r="T58" s="49">
        <f t="shared" si="6"/>
        <v>8747.8561594387575</v>
      </c>
      <c r="U58" s="50">
        <v>62</v>
      </c>
      <c r="V58" s="50" t="str">
        <f t="shared" si="21"/>
        <v>51-80</v>
      </c>
      <c r="W58" s="50">
        <f t="shared" si="7"/>
        <v>6509</v>
      </c>
      <c r="X58" s="143" t="s">
        <v>1458</v>
      </c>
      <c r="Y58" s="143" t="e">
        <f t="shared" si="22"/>
        <v>#N/A</v>
      </c>
      <c r="Z58" s="143" t="e">
        <f t="shared" si="23"/>
        <v>#N/A</v>
      </c>
      <c r="AA58" s="116"/>
      <c r="AB58" s="114" t="str">
        <f t="shared" si="8"/>
        <v>0-20</v>
      </c>
      <c r="AC58" s="114">
        <f t="shared" si="9"/>
        <v>3844.3574443810608</v>
      </c>
      <c r="AD58" s="129"/>
      <c r="AE58" s="129" t="str">
        <f t="shared" si="49"/>
        <v>0-20</v>
      </c>
      <c r="AF58" s="129">
        <f t="shared" si="50"/>
        <v>3844.3574443810608</v>
      </c>
      <c r="AG58" s="138">
        <v>129</v>
      </c>
      <c r="AH58" s="138" t="str">
        <f t="shared" si="41"/>
        <v>110-130</v>
      </c>
      <c r="AI58" s="138">
        <f t="shared" si="42"/>
        <v>10159.810450732197</v>
      </c>
      <c r="AJ58" s="36">
        <v>69</v>
      </c>
      <c r="AK58" s="36" t="str">
        <f t="shared" si="31"/>
        <v>51-80</v>
      </c>
      <c r="AL58" s="37">
        <f t="shared" si="32"/>
        <v>6509</v>
      </c>
      <c r="AM58" s="82">
        <v>23</v>
      </c>
      <c r="AN58" s="83" t="str">
        <f t="shared" si="43"/>
        <v>21-30</v>
      </c>
      <c r="AO58" s="121">
        <f t="shared" si="44"/>
        <v>4508.6394748902885</v>
      </c>
      <c r="AP58" s="133">
        <v>119</v>
      </c>
      <c r="AQ58" s="133" t="str">
        <f t="shared" si="18"/>
        <v>110-130</v>
      </c>
      <c r="AR58" s="133">
        <f t="shared" si="19"/>
        <v>10159.810450732197</v>
      </c>
      <c r="AS58" s="131"/>
      <c r="AT58" s="131"/>
      <c r="AU58" s="41"/>
      <c r="AV58" s="41"/>
      <c r="AW58" s="41"/>
    </row>
    <row r="59" spans="1:49" x14ac:dyDescent="0.25">
      <c r="A59" s="32">
        <v>56</v>
      </c>
      <c r="B59" s="13" t="s">
        <v>21</v>
      </c>
      <c r="C59" s="54" t="s">
        <v>187</v>
      </c>
      <c r="D59" s="10" t="s">
        <v>937</v>
      </c>
      <c r="E59" s="11" t="s">
        <v>188</v>
      </c>
      <c r="F59" s="34" t="s">
        <v>189</v>
      </c>
      <c r="G59" s="6" t="s">
        <v>190</v>
      </c>
      <c r="H59" s="33">
        <v>402301</v>
      </c>
      <c r="I59" s="90">
        <v>172</v>
      </c>
      <c r="J59" s="90" t="str">
        <f t="shared" si="47"/>
        <v>110-130</v>
      </c>
      <c r="K59" s="91">
        <f t="shared" si="48"/>
        <v>10159.810450732197</v>
      </c>
      <c r="L59" s="35">
        <v>192</v>
      </c>
      <c r="M59" s="35" t="str">
        <f t="shared" si="29"/>
        <v>110-130</v>
      </c>
      <c r="N59" s="36">
        <f t="shared" si="30"/>
        <v>10159.810450732197</v>
      </c>
      <c r="O59" s="51">
        <v>217</v>
      </c>
      <c r="P59" s="51" t="str">
        <f t="shared" si="20"/>
        <v>110-130</v>
      </c>
      <c r="Q59" s="51">
        <f t="shared" si="4"/>
        <v>10159.810450732197</v>
      </c>
      <c r="R59" s="49">
        <v>180</v>
      </c>
      <c r="S59" s="49" t="str">
        <f t="shared" si="5"/>
        <v>110-130</v>
      </c>
      <c r="T59" s="49">
        <f t="shared" si="6"/>
        <v>10159.810450732197</v>
      </c>
      <c r="U59" s="50">
        <v>169</v>
      </c>
      <c r="V59" s="50" t="str">
        <f t="shared" si="21"/>
        <v>110-130</v>
      </c>
      <c r="W59" s="50">
        <f t="shared" si="7"/>
        <v>10159.810450732197</v>
      </c>
      <c r="X59" s="143" t="s">
        <v>1458</v>
      </c>
      <c r="Y59" s="143" t="e">
        <f t="shared" si="22"/>
        <v>#N/A</v>
      </c>
      <c r="Z59" s="143" t="e">
        <f t="shared" si="23"/>
        <v>#N/A</v>
      </c>
      <c r="AA59" s="116"/>
      <c r="AB59" s="114" t="str">
        <f t="shared" si="8"/>
        <v>0-20</v>
      </c>
      <c r="AC59" s="114">
        <f t="shared" si="9"/>
        <v>3844.3574443810608</v>
      </c>
      <c r="AD59" s="129"/>
      <c r="AE59" s="129" t="str">
        <f t="shared" si="49"/>
        <v>0-20</v>
      </c>
      <c r="AF59" s="129">
        <f t="shared" si="50"/>
        <v>3844.3574443810608</v>
      </c>
      <c r="AG59" s="138"/>
      <c r="AH59" s="138" t="str">
        <f t="shared" si="41"/>
        <v>0-20</v>
      </c>
      <c r="AI59" s="138">
        <f t="shared" si="42"/>
        <v>3844.3574443810608</v>
      </c>
      <c r="AJ59" s="36">
        <v>168</v>
      </c>
      <c r="AK59" s="36" t="str">
        <f t="shared" si="31"/>
        <v>110-130</v>
      </c>
      <c r="AL59" s="37">
        <f t="shared" si="32"/>
        <v>10159.810450732197</v>
      </c>
      <c r="AM59" s="82">
        <v>105</v>
      </c>
      <c r="AN59" s="83" t="str">
        <f t="shared" si="43"/>
        <v>81-110</v>
      </c>
      <c r="AO59" s="121">
        <f t="shared" si="44"/>
        <v>8747.8561594387575</v>
      </c>
      <c r="AP59" s="133"/>
      <c r="AQ59" s="133" t="str">
        <f t="shared" si="18"/>
        <v>0-20</v>
      </c>
      <c r="AR59" s="133">
        <f t="shared" si="19"/>
        <v>3844.3574443810608</v>
      </c>
      <c r="AS59" s="131"/>
      <c r="AT59" s="131"/>
      <c r="AU59" s="41"/>
      <c r="AV59" s="41"/>
      <c r="AW59" s="41"/>
    </row>
    <row r="60" spans="1:49" x14ac:dyDescent="0.25">
      <c r="A60" s="32">
        <v>57</v>
      </c>
      <c r="B60" s="13" t="s">
        <v>21</v>
      </c>
      <c r="C60" s="11" t="s">
        <v>459</v>
      </c>
      <c r="D60" s="10" t="s">
        <v>938</v>
      </c>
      <c r="E60" s="11" t="s">
        <v>460</v>
      </c>
      <c r="F60" s="34" t="s">
        <v>481</v>
      </c>
      <c r="G60" s="6" t="s">
        <v>194</v>
      </c>
      <c r="H60" s="33">
        <v>410206</v>
      </c>
      <c r="I60" s="90">
        <v>78</v>
      </c>
      <c r="J60" s="90" t="str">
        <f t="shared" si="47"/>
        <v>51-80</v>
      </c>
      <c r="K60" s="91">
        <f t="shared" si="48"/>
        <v>6509</v>
      </c>
      <c r="L60" s="99">
        <v>38</v>
      </c>
      <c r="M60" s="99" t="str">
        <f t="shared" si="29"/>
        <v>31-50</v>
      </c>
      <c r="N60" s="100">
        <f t="shared" si="30"/>
        <v>5073.1976040297868</v>
      </c>
      <c r="O60" s="51">
        <v>58</v>
      </c>
      <c r="P60" s="51" t="str">
        <f t="shared" si="20"/>
        <v>51-80</v>
      </c>
      <c r="Q60" s="51">
        <f t="shared" si="4"/>
        <v>6509</v>
      </c>
      <c r="R60" s="49">
        <v>42</v>
      </c>
      <c r="S60" s="49" t="str">
        <f t="shared" si="5"/>
        <v>31-50</v>
      </c>
      <c r="T60" s="49">
        <f t="shared" si="6"/>
        <v>5073.1976040297868</v>
      </c>
      <c r="U60" s="50">
        <v>34</v>
      </c>
      <c r="V60" s="50" t="str">
        <f t="shared" si="21"/>
        <v>31-50</v>
      </c>
      <c r="W60" s="50">
        <f t="shared" si="7"/>
        <v>5073.1976040297868</v>
      </c>
      <c r="X60" s="143" t="s">
        <v>1458</v>
      </c>
      <c r="Y60" s="143" t="e">
        <f t="shared" si="22"/>
        <v>#N/A</v>
      </c>
      <c r="Z60" s="143" t="e">
        <f t="shared" si="23"/>
        <v>#N/A</v>
      </c>
      <c r="AA60" s="116"/>
      <c r="AB60" s="114" t="str">
        <f t="shared" si="8"/>
        <v>0-20</v>
      </c>
      <c r="AC60" s="114">
        <f t="shared" si="9"/>
        <v>3844.3574443810608</v>
      </c>
      <c r="AD60" s="129"/>
      <c r="AE60" s="129" t="str">
        <f t="shared" si="49"/>
        <v>0-20</v>
      </c>
      <c r="AF60" s="129">
        <f t="shared" si="50"/>
        <v>3844.3574443810608</v>
      </c>
      <c r="AG60" s="139">
        <v>106</v>
      </c>
      <c r="AH60" s="138" t="str">
        <f t="shared" si="41"/>
        <v>81-110</v>
      </c>
      <c r="AI60" s="138">
        <f t="shared" si="42"/>
        <v>8747.8561594387575</v>
      </c>
      <c r="AJ60" s="36">
        <v>29</v>
      </c>
      <c r="AK60" s="36" t="str">
        <f t="shared" si="31"/>
        <v>21-30</v>
      </c>
      <c r="AL60" s="37">
        <f t="shared" si="32"/>
        <v>4508.6394748902885</v>
      </c>
      <c r="AM60" s="84">
        <v>36</v>
      </c>
      <c r="AN60" s="85" t="str">
        <f t="shared" si="43"/>
        <v>31-50</v>
      </c>
      <c r="AO60" s="122">
        <f t="shared" si="44"/>
        <v>5073.1976040297868</v>
      </c>
      <c r="AP60" s="133"/>
      <c r="AQ60" s="133" t="str">
        <f t="shared" si="18"/>
        <v>0-20</v>
      </c>
      <c r="AR60" s="133">
        <f t="shared" si="19"/>
        <v>3844.3574443810608</v>
      </c>
      <c r="AS60" s="131"/>
      <c r="AT60" s="131"/>
      <c r="AU60" s="41"/>
      <c r="AV60" s="41"/>
      <c r="AW60" s="41"/>
    </row>
    <row r="61" spans="1:49" x14ac:dyDescent="0.25">
      <c r="A61" s="32">
        <v>58</v>
      </c>
      <c r="B61" s="13" t="s">
        <v>21</v>
      </c>
      <c r="C61" s="11" t="s">
        <v>191</v>
      </c>
      <c r="D61" s="10">
        <v>0</v>
      </c>
      <c r="E61" s="11" t="s">
        <v>192</v>
      </c>
      <c r="F61" s="34" t="s">
        <v>193</v>
      </c>
      <c r="G61" s="6" t="s">
        <v>194</v>
      </c>
      <c r="H61" s="33">
        <v>410209</v>
      </c>
      <c r="I61" s="90">
        <v>78</v>
      </c>
      <c r="J61" s="90" t="str">
        <f t="shared" si="47"/>
        <v>51-80</v>
      </c>
      <c r="K61" s="91">
        <f t="shared" si="48"/>
        <v>6509</v>
      </c>
      <c r="L61" s="35">
        <v>32</v>
      </c>
      <c r="M61" s="35" t="str">
        <f t="shared" si="29"/>
        <v>31-50</v>
      </c>
      <c r="N61" s="36">
        <f t="shared" si="30"/>
        <v>5073.1976040297868</v>
      </c>
      <c r="O61" s="51">
        <v>58</v>
      </c>
      <c r="P61" s="51" t="str">
        <f t="shared" si="20"/>
        <v>51-80</v>
      </c>
      <c r="Q61" s="51">
        <f t="shared" si="4"/>
        <v>6509</v>
      </c>
      <c r="R61" s="49">
        <v>40</v>
      </c>
      <c r="S61" s="49" t="str">
        <f t="shared" si="5"/>
        <v>31-50</v>
      </c>
      <c r="T61" s="49">
        <f t="shared" si="6"/>
        <v>5073.1976040297868</v>
      </c>
      <c r="U61" s="50">
        <v>30</v>
      </c>
      <c r="V61" s="50" t="str">
        <f t="shared" si="21"/>
        <v>21-30</v>
      </c>
      <c r="W61" s="50">
        <f t="shared" si="7"/>
        <v>4508.6394748902885</v>
      </c>
      <c r="X61" s="143" t="s">
        <v>1458</v>
      </c>
      <c r="Y61" s="143" t="e">
        <f t="shared" si="22"/>
        <v>#N/A</v>
      </c>
      <c r="Z61" s="143" t="e">
        <f t="shared" si="23"/>
        <v>#N/A</v>
      </c>
      <c r="AA61" s="116"/>
      <c r="AB61" s="114" t="str">
        <f t="shared" si="8"/>
        <v>0-20</v>
      </c>
      <c r="AC61" s="114">
        <f t="shared" si="9"/>
        <v>3844.3574443810608</v>
      </c>
      <c r="AD61" s="129"/>
      <c r="AE61" s="129" t="str">
        <f t="shared" si="49"/>
        <v>0-20</v>
      </c>
      <c r="AF61" s="129">
        <f t="shared" si="50"/>
        <v>3844.3574443810608</v>
      </c>
      <c r="AG61" s="138"/>
      <c r="AH61" s="138" t="str">
        <f t="shared" si="41"/>
        <v>0-20</v>
      </c>
      <c r="AI61" s="138">
        <f t="shared" si="42"/>
        <v>3844.3574443810608</v>
      </c>
      <c r="AJ61" s="36">
        <v>29</v>
      </c>
      <c r="AK61" s="36" t="str">
        <f t="shared" si="31"/>
        <v>21-30</v>
      </c>
      <c r="AL61" s="37">
        <f t="shared" si="32"/>
        <v>4508.6394748902885</v>
      </c>
      <c r="AM61" s="37">
        <v>36</v>
      </c>
      <c r="AN61" s="3" t="str">
        <f t="shared" si="43"/>
        <v>31-50</v>
      </c>
      <c r="AO61" s="119">
        <f t="shared" si="44"/>
        <v>5073.1976040297868</v>
      </c>
      <c r="AP61" s="133"/>
      <c r="AQ61" s="133" t="str">
        <f t="shared" si="18"/>
        <v>0-20</v>
      </c>
      <c r="AR61" s="133">
        <f t="shared" si="19"/>
        <v>3844.3574443810608</v>
      </c>
      <c r="AS61" s="131"/>
      <c r="AT61" s="131"/>
      <c r="AU61" s="41"/>
      <c r="AV61" s="41"/>
      <c r="AW61" s="41"/>
    </row>
    <row r="62" spans="1:49" x14ac:dyDescent="0.25">
      <c r="A62" s="32">
        <v>59</v>
      </c>
      <c r="B62" s="13" t="s">
        <v>21</v>
      </c>
      <c r="C62" s="11" t="s">
        <v>195</v>
      </c>
      <c r="D62" s="10" t="s">
        <v>939</v>
      </c>
      <c r="E62" s="11" t="s">
        <v>196</v>
      </c>
      <c r="F62" s="34" t="s">
        <v>1288</v>
      </c>
      <c r="G62" s="6" t="s">
        <v>197</v>
      </c>
      <c r="H62" s="33">
        <v>421201</v>
      </c>
      <c r="I62" s="90">
        <v>103</v>
      </c>
      <c r="J62" s="90" t="str">
        <f t="shared" si="47"/>
        <v>81-110</v>
      </c>
      <c r="K62" s="91">
        <f t="shared" si="48"/>
        <v>8747.8561594387575</v>
      </c>
      <c r="L62" s="99">
        <v>28</v>
      </c>
      <c r="M62" s="99" t="str">
        <f t="shared" si="29"/>
        <v>21-30</v>
      </c>
      <c r="N62" s="100">
        <f t="shared" si="30"/>
        <v>4508.6394748902885</v>
      </c>
      <c r="O62" s="51">
        <v>53</v>
      </c>
      <c r="P62" s="51" t="str">
        <f t="shared" si="20"/>
        <v>51-80</v>
      </c>
      <c r="Q62" s="51">
        <f t="shared" si="4"/>
        <v>6509</v>
      </c>
      <c r="R62" s="49">
        <v>46</v>
      </c>
      <c r="S62" s="49" t="str">
        <f t="shared" si="5"/>
        <v>31-50</v>
      </c>
      <c r="T62" s="49">
        <f t="shared" si="6"/>
        <v>5073.1976040297868</v>
      </c>
      <c r="U62" s="50">
        <v>43</v>
      </c>
      <c r="V62" s="50" t="str">
        <f t="shared" si="21"/>
        <v>31-50</v>
      </c>
      <c r="W62" s="50">
        <f t="shared" si="7"/>
        <v>5073.1976040297868</v>
      </c>
      <c r="X62" s="143">
        <v>23</v>
      </c>
      <c r="Y62" s="143" t="str">
        <f t="shared" si="22"/>
        <v>21-30</v>
      </c>
      <c r="Z62" s="143">
        <f t="shared" si="23"/>
        <v>4508.6394748902885</v>
      </c>
      <c r="AA62" s="116"/>
      <c r="AB62" s="114" t="str">
        <f t="shared" si="8"/>
        <v>0-20</v>
      </c>
      <c r="AC62" s="114">
        <f t="shared" si="9"/>
        <v>3844.3574443810608</v>
      </c>
      <c r="AD62" s="129">
        <v>16</v>
      </c>
      <c r="AE62" s="129" t="str">
        <f t="shared" si="49"/>
        <v>0-20</v>
      </c>
      <c r="AF62" s="129">
        <f t="shared" si="50"/>
        <v>3844.3574443810608</v>
      </c>
      <c r="AG62" s="138">
        <v>85</v>
      </c>
      <c r="AH62" s="138" t="str">
        <f t="shared" si="41"/>
        <v>81-110</v>
      </c>
      <c r="AI62" s="138">
        <f t="shared" si="42"/>
        <v>8747.8561594387575</v>
      </c>
      <c r="AJ62" s="36">
        <v>39</v>
      </c>
      <c r="AK62" s="36" t="str">
        <f t="shared" si="31"/>
        <v>31-50</v>
      </c>
      <c r="AL62" s="37">
        <f t="shared" si="32"/>
        <v>5073.1976040297868</v>
      </c>
      <c r="AM62" s="37">
        <v>68</v>
      </c>
      <c r="AN62" s="3" t="str">
        <f t="shared" si="43"/>
        <v>51-80</v>
      </c>
      <c r="AO62" s="119">
        <f t="shared" si="44"/>
        <v>6509</v>
      </c>
      <c r="AP62" s="133"/>
      <c r="AQ62" s="133" t="str">
        <f t="shared" si="18"/>
        <v>0-20</v>
      </c>
      <c r="AR62" s="133">
        <f t="shared" si="19"/>
        <v>3844.3574443810608</v>
      </c>
      <c r="AS62" s="131"/>
      <c r="AT62" s="131"/>
      <c r="AU62" s="41"/>
      <c r="AV62" s="41"/>
      <c r="AW62" s="41"/>
    </row>
    <row r="63" spans="1:49" x14ac:dyDescent="0.25">
      <c r="A63" s="32">
        <v>60</v>
      </c>
      <c r="B63" s="13" t="s">
        <v>21</v>
      </c>
      <c r="C63" s="11" t="s">
        <v>508</v>
      </c>
      <c r="D63" s="10">
        <v>0</v>
      </c>
      <c r="E63" s="11" t="s">
        <v>509</v>
      </c>
      <c r="F63" s="34" t="s">
        <v>510</v>
      </c>
      <c r="G63" s="6" t="s">
        <v>511</v>
      </c>
      <c r="H63" s="33">
        <v>401107</v>
      </c>
      <c r="I63" s="90">
        <v>121</v>
      </c>
      <c r="J63" s="90" t="str">
        <f>VLOOKUP(I63,'[1]M2 Trip Matrix'!$AB$3:$AC$8,2,1)</f>
        <v>110-130</v>
      </c>
      <c r="K63" s="91">
        <f>VLOOKUP(J63,'[1]M2 Trip Matrix'!$AC$2:$AD$8,2,0)</f>
        <v>9818</v>
      </c>
      <c r="L63" s="35">
        <v>20</v>
      </c>
      <c r="M63" s="35" t="str">
        <f>VLOOKUP(L63,'[1]M2 Trip Matrix'!$AB$3:$AC$8,2,1)</f>
        <v>0-20</v>
      </c>
      <c r="N63" s="36">
        <f>VLOOKUP(M63,'[1]M2 Trip Matrix'!$AC$2:$AD$8,2,0)</f>
        <v>3715</v>
      </c>
      <c r="O63" s="51">
        <v>32</v>
      </c>
      <c r="P63" s="51" t="str">
        <f t="shared" si="20"/>
        <v>31-50</v>
      </c>
      <c r="Q63" s="51">
        <f t="shared" si="4"/>
        <v>5073.1976040297868</v>
      </c>
      <c r="R63" s="49">
        <v>23</v>
      </c>
      <c r="S63" s="49" t="str">
        <f t="shared" si="5"/>
        <v>21-30</v>
      </c>
      <c r="T63" s="49">
        <f t="shared" si="6"/>
        <v>4508.6394748902885</v>
      </c>
      <c r="U63" s="50">
        <v>32</v>
      </c>
      <c r="V63" s="50" t="str">
        <f t="shared" si="21"/>
        <v>31-50</v>
      </c>
      <c r="W63" s="50">
        <f t="shared" si="7"/>
        <v>5073.1976040297868</v>
      </c>
      <c r="X63" s="143" t="s">
        <v>1458</v>
      </c>
      <c r="Y63" s="143" t="e">
        <f t="shared" si="22"/>
        <v>#N/A</v>
      </c>
      <c r="Z63" s="143" t="e">
        <f t="shared" si="23"/>
        <v>#N/A</v>
      </c>
      <c r="AA63" s="116"/>
      <c r="AB63" s="114" t="str">
        <f t="shared" si="8"/>
        <v>0-20</v>
      </c>
      <c r="AC63" s="114">
        <f t="shared" si="9"/>
        <v>3844.3574443810608</v>
      </c>
      <c r="AD63" s="129"/>
      <c r="AE63" s="129" t="str">
        <f t="shared" ref="AE63:AE82" si="51">VLOOKUP(AD63,$AV$4:$AW$9,2,1)</f>
        <v>0-20</v>
      </c>
      <c r="AF63" s="129">
        <f t="shared" ref="AF63:AF82" si="52">VLOOKUP(AE63,$AW$3:$AX$9,2,0)</f>
        <v>3844.3574443810608</v>
      </c>
      <c r="AG63" s="138">
        <v>72</v>
      </c>
      <c r="AH63" s="138" t="str">
        <f t="shared" si="41"/>
        <v>51-80</v>
      </c>
      <c r="AI63" s="138">
        <f t="shared" si="42"/>
        <v>6509</v>
      </c>
      <c r="AJ63" s="36">
        <v>40</v>
      </c>
      <c r="AK63" s="36" t="str">
        <f t="shared" si="31"/>
        <v>31-50</v>
      </c>
      <c r="AL63" s="37">
        <f t="shared" si="32"/>
        <v>5073.1976040297868</v>
      </c>
      <c r="AM63" s="37"/>
      <c r="AN63" s="3" t="str">
        <f t="shared" si="43"/>
        <v>0-20</v>
      </c>
      <c r="AO63" s="119">
        <f t="shared" si="44"/>
        <v>3844.3574443810608</v>
      </c>
      <c r="AP63" s="133"/>
      <c r="AQ63" s="133" t="str">
        <f t="shared" si="18"/>
        <v>0-20</v>
      </c>
      <c r="AR63" s="133">
        <f t="shared" si="19"/>
        <v>3844.3574443810608</v>
      </c>
      <c r="AS63" s="131"/>
      <c r="AT63" s="131"/>
      <c r="AU63" s="41"/>
      <c r="AV63" s="41"/>
      <c r="AW63" s="41"/>
    </row>
    <row r="64" spans="1:49" x14ac:dyDescent="0.25">
      <c r="A64" s="32">
        <v>61</v>
      </c>
      <c r="B64" s="13" t="s">
        <v>21</v>
      </c>
      <c r="C64" s="11" t="s">
        <v>198</v>
      </c>
      <c r="D64" s="10">
        <v>0</v>
      </c>
      <c r="E64" s="11" t="s">
        <v>199</v>
      </c>
      <c r="F64" s="34" t="s">
        <v>200</v>
      </c>
      <c r="G64" s="6" t="s">
        <v>201</v>
      </c>
      <c r="H64" s="33">
        <v>402101</v>
      </c>
      <c r="I64" s="90">
        <v>101</v>
      </c>
      <c r="J64" s="90" t="str">
        <f t="shared" ref="J64:J84" si="53">VLOOKUP(I64,$AV$4:$AW$9,2,1)</f>
        <v>81-110</v>
      </c>
      <c r="K64" s="91">
        <f t="shared" ref="K64:K86" si="54">VLOOKUP(J64,$AW$3:$AX$9,2,0)</f>
        <v>8747.8561594387575</v>
      </c>
      <c r="L64" s="35">
        <v>179</v>
      </c>
      <c r="M64" s="35" t="str">
        <f>VLOOKUP(L64,$AV$4:$AW$9,2,1)</f>
        <v>110-130</v>
      </c>
      <c r="N64" s="36">
        <f t="shared" ref="N64:N84" si="55">VLOOKUP(M64,$AW$3:$AX$9,2,0)</f>
        <v>10159.810450732197</v>
      </c>
      <c r="O64" s="51">
        <v>123</v>
      </c>
      <c r="P64" s="51" t="str">
        <f t="shared" si="20"/>
        <v>110-130</v>
      </c>
      <c r="Q64" s="51">
        <f t="shared" si="4"/>
        <v>10159.810450732197</v>
      </c>
      <c r="R64" s="49">
        <v>188</v>
      </c>
      <c r="S64" s="49" t="str">
        <f t="shared" si="5"/>
        <v>110-130</v>
      </c>
      <c r="T64" s="49">
        <f t="shared" si="6"/>
        <v>10159.810450732197</v>
      </c>
      <c r="U64" s="50">
        <v>97</v>
      </c>
      <c r="V64" s="50" t="str">
        <f t="shared" si="21"/>
        <v>81-110</v>
      </c>
      <c r="W64" s="50">
        <f t="shared" si="7"/>
        <v>8747.8561594387575</v>
      </c>
      <c r="X64" s="143" t="s">
        <v>1458</v>
      </c>
      <c r="Y64" s="143" t="e">
        <f t="shared" si="22"/>
        <v>#N/A</v>
      </c>
      <c r="Z64" s="143" t="e">
        <f t="shared" si="23"/>
        <v>#N/A</v>
      </c>
      <c r="AA64" s="116"/>
      <c r="AB64" s="114" t="str">
        <f t="shared" si="8"/>
        <v>0-20</v>
      </c>
      <c r="AC64" s="114">
        <f t="shared" si="9"/>
        <v>3844.3574443810608</v>
      </c>
      <c r="AD64" s="129"/>
      <c r="AE64" s="129" t="str">
        <f t="shared" si="51"/>
        <v>0-20</v>
      </c>
      <c r="AF64" s="129">
        <f t="shared" si="52"/>
        <v>3844.3574443810608</v>
      </c>
      <c r="AG64" s="138"/>
      <c r="AH64" s="138" t="str">
        <f t="shared" si="41"/>
        <v>0-20</v>
      </c>
      <c r="AI64" s="138">
        <f t="shared" si="42"/>
        <v>3844.3574443810608</v>
      </c>
      <c r="AJ64" s="36">
        <v>96</v>
      </c>
      <c r="AK64" s="36" t="str">
        <f t="shared" si="31"/>
        <v>81-110</v>
      </c>
      <c r="AL64" s="37">
        <f t="shared" si="32"/>
        <v>8747.8561594387575</v>
      </c>
      <c r="AM64" s="82">
        <v>57</v>
      </c>
      <c r="AN64" s="83" t="str">
        <f t="shared" si="43"/>
        <v>51-80</v>
      </c>
      <c r="AO64" s="121">
        <f t="shared" si="44"/>
        <v>6509</v>
      </c>
      <c r="AP64" s="133"/>
      <c r="AQ64" s="133" t="str">
        <f t="shared" si="18"/>
        <v>0-20</v>
      </c>
      <c r="AR64" s="133">
        <f t="shared" si="19"/>
        <v>3844.3574443810608</v>
      </c>
      <c r="AS64" s="131"/>
      <c r="AT64" s="131"/>
      <c r="AU64" s="41"/>
      <c r="AV64" s="41"/>
      <c r="AW64" s="41"/>
    </row>
    <row r="65" spans="1:50" x14ac:dyDescent="0.25">
      <c r="A65" s="32">
        <v>62</v>
      </c>
      <c r="B65" s="13" t="s">
        <v>21</v>
      </c>
      <c r="C65" s="11" t="s">
        <v>202</v>
      </c>
      <c r="D65" s="10" t="s">
        <v>940</v>
      </c>
      <c r="E65" s="11" t="s">
        <v>203</v>
      </c>
      <c r="F65" s="34" t="s">
        <v>1524</v>
      </c>
      <c r="G65" s="6" t="s">
        <v>139</v>
      </c>
      <c r="H65" s="33">
        <v>421401</v>
      </c>
      <c r="I65" s="90">
        <v>117</v>
      </c>
      <c r="J65" s="90" t="str">
        <f t="shared" si="53"/>
        <v>110-130</v>
      </c>
      <c r="K65" s="91">
        <f t="shared" si="54"/>
        <v>10159.810450732197</v>
      </c>
      <c r="L65" s="35">
        <v>68</v>
      </c>
      <c r="M65" s="35" t="str">
        <f>VLOOKUP(L65,$AV$4:$AW$9,2,1)</f>
        <v>51-80</v>
      </c>
      <c r="N65" s="36">
        <f t="shared" si="55"/>
        <v>6509</v>
      </c>
      <c r="O65" s="51">
        <v>90</v>
      </c>
      <c r="P65" s="51" t="str">
        <f t="shared" si="20"/>
        <v>81-110</v>
      </c>
      <c r="Q65" s="51">
        <f t="shared" si="4"/>
        <v>8747.8561594387575</v>
      </c>
      <c r="R65" s="49">
        <v>86</v>
      </c>
      <c r="S65" s="49" t="str">
        <f t="shared" si="5"/>
        <v>81-110</v>
      </c>
      <c r="T65" s="49">
        <f t="shared" si="6"/>
        <v>8747.8561594387575</v>
      </c>
      <c r="U65" s="50">
        <v>85</v>
      </c>
      <c r="V65" s="50" t="str">
        <f t="shared" si="21"/>
        <v>81-110</v>
      </c>
      <c r="W65" s="50">
        <f t="shared" si="7"/>
        <v>8747.8561594387575</v>
      </c>
      <c r="X65" s="143">
        <v>46</v>
      </c>
      <c r="Y65" s="143" t="str">
        <f t="shared" si="22"/>
        <v>31-50</v>
      </c>
      <c r="Z65" s="143">
        <f t="shared" si="23"/>
        <v>5073.1976040297868</v>
      </c>
      <c r="AA65" s="116"/>
      <c r="AB65" s="114" t="str">
        <f t="shared" si="8"/>
        <v>0-20</v>
      </c>
      <c r="AC65" s="114">
        <f t="shared" si="9"/>
        <v>3844.3574443810608</v>
      </c>
      <c r="AD65" s="129"/>
      <c r="AE65" s="129" t="str">
        <f t="shared" si="51"/>
        <v>0-20</v>
      </c>
      <c r="AF65" s="129">
        <f t="shared" si="52"/>
        <v>3844.3574443810608</v>
      </c>
      <c r="AG65" s="138"/>
      <c r="AH65" s="138" t="str">
        <f t="shared" si="41"/>
        <v>0-20</v>
      </c>
      <c r="AI65" s="138">
        <f t="shared" si="42"/>
        <v>3844.3574443810608</v>
      </c>
      <c r="AJ65" s="36">
        <v>93</v>
      </c>
      <c r="AK65" s="36" t="str">
        <f t="shared" si="31"/>
        <v>81-110</v>
      </c>
      <c r="AL65" s="37">
        <f t="shared" si="32"/>
        <v>8747.8561594387575</v>
      </c>
      <c r="AM65" s="37">
        <v>88</v>
      </c>
      <c r="AN65" s="3" t="str">
        <f t="shared" si="43"/>
        <v>81-110</v>
      </c>
      <c r="AO65" s="119">
        <f t="shared" si="44"/>
        <v>8747.8561594387575</v>
      </c>
      <c r="AP65" s="133"/>
      <c r="AQ65" s="133" t="str">
        <f t="shared" si="18"/>
        <v>0-20</v>
      </c>
      <c r="AR65" s="133">
        <f t="shared" si="19"/>
        <v>3844.3574443810608</v>
      </c>
      <c r="AS65" s="131"/>
      <c r="AT65" s="131"/>
      <c r="AU65" s="41" t="s">
        <v>808</v>
      </c>
      <c r="AV65" s="41"/>
      <c r="AW65" s="41"/>
    </row>
    <row r="66" spans="1:50" x14ac:dyDescent="0.25">
      <c r="A66" s="32">
        <v>63</v>
      </c>
      <c r="B66" s="13" t="s">
        <v>21</v>
      </c>
      <c r="C66" s="9" t="s">
        <v>204</v>
      </c>
      <c r="D66" s="10" t="s">
        <v>941</v>
      </c>
      <c r="E66" s="11" t="s">
        <v>205</v>
      </c>
      <c r="F66" s="34" t="s">
        <v>206</v>
      </c>
      <c r="G66" s="6" t="s">
        <v>207</v>
      </c>
      <c r="H66" s="33">
        <v>421201</v>
      </c>
      <c r="I66" s="90">
        <v>95</v>
      </c>
      <c r="J66" s="90" t="str">
        <f t="shared" si="53"/>
        <v>81-110</v>
      </c>
      <c r="K66" s="91">
        <f t="shared" si="54"/>
        <v>8747.8561594387575</v>
      </c>
      <c r="L66" s="35">
        <v>26</v>
      </c>
      <c r="M66" s="35" t="str">
        <f>VLOOKUP(L66,$AV$4:$AW$9,2,1)</f>
        <v>21-30</v>
      </c>
      <c r="N66" s="36">
        <f t="shared" si="55"/>
        <v>4508.6394748902885</v>
      </c>
      <c r="O66" s="51">
        <v>55</v>
      </c>
      <c r="P66" s="51" t="str">
        <f t="shared" si="20"/>
        <v>51-80</v>
      </c>
      <c r="Q66" s="51">
        <f t="shared" si="4"/>
        <v>6509</v>
      </c>
      <c r="R66" s="49">
        <v>43</v>
      </c>
      <c r="S66" s="49" t="str">
        <f t="shared" si="5"/>
        <v>31-50</v>
      </c>
      <c r="T66" s="49">
        <f t="shared" si="6"/>
        <v>5073.1976040297868</v>
      </c>
      <c r="U66" s="50">
        <v>36</v>
      </c>
      <c r="V66" s="50" t="str">
        <f t="shared" si="21"/>
        <v>31-50</v>
      </c>
      <c r="W66" s="50">
        <f t="shared" si="7"/>
        <v>5073.1976040297868</v>
      </c>
      <c r="X66" s="143" t="s">
        <v>1458</v>
      </c>
      <c r="Y66" s="143" t="e">
        <f t="shared" si="22"/>
        <v>#N/A</v>
      </c>
      <c r="Z66" s="143" t="e">
        <f t="shared" si="23"/>
        <v>#N/A</v>
      </c>
      <c r="AA66" s="116"/>
      <c r="AB66" s="114" t="str">
        <f t="shared" si="8"/>
        <v>0-20</v>
      </c>
      <c r="AC66" s="114">
        <f t="shared" si="9"/>
        <v>3844.3574443810608</v>
      </c>
      <c r="AD66" s="129"/>
      <c r="AE66" s="129" t="str">
        <f t="shared" si="51"/>
        <v>0-20</v>
      </c>
      <c r="AF66" s="129">
        <f t="shared" si="52"/>
        <v>3844.3574443810608</v>
      </c>
      <c r="AG66" s="138">
        <v>85</v>
      </c>
      <c r="AH66" s="138" t="str">
        <f t="shared" si="41"/>
        <v>81-110</v>
      </c>
      <c r="AI66" s="138">
        <f t="shared" si="42"/>
        <v>8747.8561594387575</v>
      </c>
      <c r="AJ66" s="36">
        <v>38</v>
      </c>
      <c r="AK66" s="36" t="str">
        <f t="shared" si="31"/>
        <v>31-50</v>
      </c>
      <c r="AL66" s="37">
        <f t="shared" si="32"/>
        <v>5073.1976040297868</v>
      </c>
      <c r="AM66" s="37">
        <v>53</v>
      </c>
      <c r="AN66" s="3" t="str">
        <f t="shared" si="43"/>
        <v>51-80</v>
      </c>
      <c r="AO66" s="119">
        <f t="shared" si="44"/>
        <v>6509</v>
      </c>
      <c r="AP66" s="133"/>
      <c r="AQ66" s="133" t="str">
        <f t="shared" si="18"/>
        <v>0-20</v>
      </c>
      <c r="AR66" s="133">
        <f t="shared" si="19"/>
        <v>3844.3574443810608</v>
      </c>
      <c r="AS66" s="131"/>
      <c r="AT66" s="131"/>
      <c r="AU66" s="41"/>
      <c r="AV66" s="41"/>
      <c r="AW66" s="41">
        <v>23</v>
      </c>
      <c r="AX66">
        <f>5073-4509</f>
        <v>564</v>
      </c>
    </row>
    <row r="67" spans="1:50" x14ac:dyDescent="0.25">
      <c r="A67" s="32">
        <v>64</v>
      </c>
      <c r="B67" s="13" t="s">
        <v>21</v>
      </c>
      <c r="C67" s="11" t="s">
        <v>208</v>
      </c>
      <c r="D67" s="10" t="s">
        <v>942</v>
      </c>
      <c r="E67" s="11" t="s">
        <v>209</v>
      </c>
      <c r="F67" s="34" t="s">
        <v>210</v>
      </c>
      <c r="G67" s="6" t="s">
        <v>211</v>
      </c>
      <c r="H67" s="33">
        <v>401101</v>
      </c>
      <c r="I67" s="90">
        <v>132</v>
      </c>
      <c r="J67" s="90" t="str">
        <f t="shared" si="53"/>
        <v>110-130</v>
      </c>
      <c r="K67" s="91">
        <f t="shared" si="54"/>
        <v>10159.810450732197</v>
      </c>
      <c r="L67" s="99">
        <v>28</v>
      </c>
      <c r="M67" s="99" t="str">
        <f>VLOOKUP(L67,$AV$4:$AW$9,2,1)</f>
        <v>21-30</v>
      </c>
      <c r="N67" s="100">
        <f t="shared" si="55"/>
        <v>4508.6394748902885</v>
      </c>
      <c r="O67" s="51">
        <v>32</v>
      </c>
      <c r="P67" s="51" t="str">
        <f t="shared" si="20"/>
        <v>31-50</v>
      </c>
      <c r="Q67" s="51">
        <f t="shared" ref="Q67:Q130" si="56">VLOOKUP(P67,$AW$3:$AX$9,2,0)</f>
        <v>5073.1976040297868</v>
      </c>
      <c r="R67" s="49">
        <v>28</v>
      </c>
      <c r="S67" s="49" t="str">
        <f t="shared" ref="S67:S130" si="57">VLOOKUP(R67,$AV$3:$AW$9,2,1)</f>
        <v>21-30</v>
      </c>
      <c r="T67" s="49">
        <f t="shared" ref="T67:T130" si="58">VLOOKUP(S67,$AW$3:$AX$9,2,0)</f>
        <v>4508.6394748902885</v>
      </c>
      <c r="U67" s="50">
        <v>34</v>
      </c>
      <c r="V67" s="50" t="str">
        <f t="shared" si="21"/>
        <v>31-50</v>
      </c>
      <c r="W67" s="50">
        <f t="shared" ref="W67:W130" si="59">VLOOKUP(V67,$AW$3:$AX$9,2,0)</f>
        <v>5073.1976040297868</v>
      </c>
      <c r="X67" s="143" t="s">
        <v>1458</v>
      </c>
      <c r="Y67" s="143" t="e">
        <f t="shared" si="22"/>
        <v>#N/A</v>
      </c>
      <c r="Z67" s="143" t="e">
        <f t="shared" si="23"/>
        <v>#N/A</v>
      </c>
      <c r="AA67" s="116"/>
      <c r="AB67" s="114" t="str">
        <f t="shared" si="8"/>
        <v>0-20</v>
      </c>
      <c r="AC67" s="114">
        <f t="shared" si="9"/>
        <v>3844.3574443810608</v>
      </c>
      <c r="AD67" s="129"/>
      <c r="AE67" s="129" t="str">
        <f t="shared" si="51"/>
        <v>0-20</v>
      </c>
      <c r="AF67" s="129">
        <f t="shared" si="52"/>
        <v>3844.3574443810608</v>
      </c>
      <c r="AG67" s="138">
        <v>78</v>
      </c>
      <c r="AH67" s="138" t="str">
        <f t="shared" si="41"/>
        <v>51-80</v>
      </c>
      <c r="AI67" s="138">
        <f t="shared" si="42"/>
        <v>6509</v>
      </c>
      <c r="AJ67" s="36">
        <v>44</v>
      </c>
      <c r="AK67" s="36" t="str">
        <f t="shared" si="31"/>
        <v>31-50</v>
      </c>
      <c r="AL67" s="37">
        <f t="shared" si="32"/>
        <v>5073.1976040297868</v>
      </c>
      <c r="AM67" s="37"/>
      <c r="AN67" s="3" t="str">
        <f t="shared" si="43"/>
        <v>0-20</v>
      </c>
      <c r="AO67" s="119">
        <f t="shared" si="44"/>
        <v>3844.3574443810608</v>
      </c>
      <c r="AP67" s="133"/>
      <c r="AQ67" s="133" t="str">
        <f t="shared" si="18"/>
        <v>0-20</v>
      </c>
      <c r="AR67" s="133">
        <f t="shared" si="19"/>
        <v>3844.3574443810608</v>
      </c>
      <c r="AS67" s="131"/>
      <c r="AT67" s="131"/>
      <c r="AU67" s="41"/>
      <c r="AV67" s="41"/>
      <c r="AW67" s="41"/>
      <c r="AX67">
        <f>+AX66*2</f>
        <v>1128</v>
      </c>
    </row>
    <row r="68" spans="1:50" x14ac:dyDescent="0.25">
      <c r="A68" s="32">
        <v>65</v>
      </c>
      <c r="B68" s="13" t="s">
        <v>21</v>
      </c>
      <c r="C68" s="11" t="s">
        <v>556</v>
      </c>
      <c r="D68" s="10" t="s">
        <v>943</v>
      </c>
      <c r="E68" s="11" t="s">
        <v>557</v>
      </c>
      <c r="F68" s="34" t="s">
        <v>210</v>
      </c>
      <c r="G68" s="6" t="s">
        <v>558</v>
      </c>
      <c r="H68" s="33">
        <v>421302</v>
      </c>
      <c r="I68" s="90">
        <v>106</v>
      </c>
      <c r="J68" s="90" t="str">
        <f t="shared" si="53"/>
        <v>81-110</v>
      </c>
      <c r="K68" s="91">
        <f t="shared" si="54"/>
        <v>8747.8561594387575</v>
      </c>
      <c r="L68" s="99">
        <v>20</v>
      </c>
      <c r="M68" s="99" t="str">
        <f>VLOOKUP(L68,'[1]M2 Trip Matrix'!$AB$3:$AC$8,2,1)</f>
        <v>0-20</v>
      </c>
      <c r="N68" s="100">
        <f t="shared" si="55"/>
        <v>3844.3574443810608</v>
      </c>
      <c r="O68" s="51">
        <v>37</v>
      </c>
      <c r="P68" s="51" t="str">
        <f t="shared" ref="P68:P131" si="60">VLOOKUP(O68,$AV$3:$AW$9,2,1)</f>
        <v>31-50</v>
      </c>
      <c r="Q68" s="51">
        <f t="shared" si="56"/>
        <v>5073.1976040297868</v>
      </c>
      <c r="R68" s="49">
        <v>40</v>
      </c>
      <c r="S68" s="49" t="str">
        <f t="shared" si="57"/>
        <v>31-50</v>
      </c>
      <c r="T68" s="49">
        <f t="shared" si="58"/>
        <v>5073.1976040297868</v>
      </c>
      <c r="U68" s="50">
        <v>37</v>
      </c>
      <c r="V68" s="50" t="str">
        <f t="shared" ref="V68:V131" si="61">VLOOKUP(U68,$AV$3:$AW$9,2,1)</f>
        <v>31-50</v>
      </c>
      <c r="W68" s="50">
        <f t="shared" si="59"/>
        <v>5073.1976040297868</v>
      </c>
      <c r="X68" s="143" t="s">
        <v>1458</v>
      </c>
      <c r="Y68" s="143" t="e">
        <f t="shared" ref="Y68:Y131" si="62">VLOOKUP(X68,$AV$4:$AW$9,2,1)</f>
        <v>#N/A</v>
      </c>
      <c r="Z68" s="143" t="e">
        <f t="shared" ref="Z68:Z131" si="63">VLOOKUP(Y68,$AW$3:$AX$9,2,0)</f>
        <v>#N/A</v>
      </c>
      <c r="AA68" s="116"/>
      <c r="AB68" s="114" t="str">
        <f t="shared" ref="AB68:AB132" si="64">VLOOKUP(AA68,$AV$4:$AW$9,2,1)</f>
        <v>0-20</v>
      </c>
      <c r="AC68" s="114">
        <f t="shared" ref="AC68:AC132" si="65">VLOOKUP(AB68,$AW$3:$AX$9,2,0)</f>
        <v>3844.3574443810608</v>
      </c>
      <c r="AD68" s="129"/>
      <c r="AE68" s="129" t="str">
        <f t="shared" si="51"/>
        <v>0-20</v>
      </c>
      <c r="AF68" s="129">
        <f t="shared" si="52"/>
        <v>3844.3574443810608</v>
      </c>
      <c r="AG68" s="138">
        <v>75</v>
      </c>
      <c r="AH68" s="138" t="str">
        <f t="shared" si="41"/>
        <v>51-80</v>
      </c>
      <c r="AI68" s="138">
        <f t="shared" si="42"/>
        <v>6509</v>
      </c>
      <c r="AJ68" s="34"/>
      <c r="AK68" s="34"/>
      <c r="AL68" s="34"/>
      <c r="AM68" s="34">
        <v>82</v>
      </c>
      <c r="AN68" s="3" t="str">
        <f t="shared" ref="AN68:AN99" si="66">VLOOKUP(AM68,$AV$4:$AW$9,2,1)</f>
        <v>81-110</v>
      </c>
      <c r="AO68" s="119">
        <f t="shared" ref="AO68:AO99" si="67">VLOOKUP(AN68,$AW$3:$AX$9,2,0)</f>
        <v>8747.8561594387575</v>
      </c>
      <c r="AP68" s="133"/>
      <c r="AQ68" s="133" t="str">
        <f t="shared" ref="AQ68:AQ132" si="68">VLOOKUP(AP68,$AV$4:$AW$9,2,1)</f>
        <v>0-20</v>
      </c>
      <c r="AR68" s="133">
        <f t="shared" ref="AR68:AR132" si="69">VLOOKUP(AQ68,$AW$3:$AX$9,2,0)</f>
        <v>3844.3574443810608</v>
      </c>
      <c r="AS68" s="131"/>
      <c r="AT68" s="131"/>
      <c r="AU68" s="41"/>
      <c r="AV68" s="41"/>
      <c r="AW68" s="41"/>
    </row>
    <row r="69" spans="1:50" x14ac:dyDescent="0.25">
      <c r="A69" s="32">
        <v>66</v>
      </c>
      <c r="B69" s="13" t="s">
        <v>21</v>
      </c>
      <c r="C69" s="11" t="s">
        <v>212</v>
      </c>
      <c r="D69" s="10" t="s">
        <v>944</v>
      </c>
      <c r="E69" s="11" t="s">
        <v>213</v>
      </c>
      <c r="F69" s="34" t="s">
        <v>568</v>
      </c>
      <c r="G69" s="6" t="s">
        <v>569</v>
      </c>
      <c r="H69" s="33">
        <v>410206</v>
      </c>
      <c r="I69" s="90">
        <v>77</v>
      </c>
      <c r="J69" s="90" t="str">
        <f t="shared" si="53"/>
        <v>51-80</v>
      </c>
      <c r="K69" s="91">
        <f t="shared" si="54"/>
        <v>6509</v>
      </c>
      <c r="L69" s="99">
        <v>40</v>
      </c>
      <c r="M69" s="99" t="str">
        <f t="shared" ref="M69:M84" si="70">VLOOKUP(L69,$AV$4:$AW$9,2,1)</f>
        <v>31-50</v>
      </c>
      <c r="N69" s="100">
        <f t="shared" si="55"/>
        <v>5073.1976040297868</v>
      </c>
      <c r="O69" s="51">
        <v>73</v>
      </c>
      <c r="P69" s="51" t="str">
        <f t="shared" si="60"/>
        <v>51-80</v>
      </c>
      <c r="Q69" s="51">
        <f t="shared" si="56"/>
        <v>6509</v>
      </c>
      <c r="R69" s="49">
        <v>56</v>
      </c>
      <c r="S69" s="49" t="str">
        <f t="shared" si="57"/>
        <v>51-80</v>
      </c>
      <c r="T69" s="49">
        <f t="shared" si="58"/>
        <v>6509</v>
      </c>
      <c r="U69" s="50">
        <v>46</v>
      </c>
      <c r="V69" s="50" t="str">
        <f t="shared" si="61"/>
        <v>31-50</v>
      </c>
      <c r="W69" s="50">
        <f t="shared" si="59"/>
        <v>5073.1976040297868</v>
      </c>
      <c r="X69" s="143">
        <v>56</v>
      </c>
      <c r="Y69" s="143" t="str">
        <f t="shared" si="62"/>
        <v>51-80</v>
      </c>
      <c r="Z69" s="143">
        <f t="shared" si="63"/>
        <v>6509</v>
      </c>
      <c r="AA69" s="116"/>
      <c r="AB69" s="114" t="str">
        <f t="shared" si="64"/>
        <v>0-20</v>
      </c>
      <c r="AC69" s="114">
        <f t="shared" si="65"/>
        <v>3844.3574443810608</v>
      </c>
      <c r="AD69" s="129"/>
      <c r="AE69" s="129" t="str">
        <f t="shared" si="51"/>
        <v>0-20</v>
      </c>
      <c r="AF69" s="129">
        <f t="shared" si="52"/>
        <v>3844.3574443810608</v>
      </c>
      <c r="AG69" s="139">
        <v>106</v>
      </c>
      <c r="AH69" s="138" t="str">
        <f t="shared" si="41"/>
        <v>81-110</v>
      </c>
      <c r="AI69" s="138">
        <f t="shared" si="42"/>
        <v>8747.8561594387575</v>
      </c>
      <c r="AJ69" s="36">
        <v>44</v>
      </c>
      <c r="AK69" s="36" t="str">
        <f t="shared" ref="AK69:AK88" si="71">VLOOKUP(AJ69,$AV$3:$AW$9,2,1)</f>
        <v>31-50</v>
      </c>
      <c r="AL69" s="37">
        <f t="shared" ref="AL69:AL88" si="72">VLOOKUP(AK69,$AW$3:$AX$9,2,0)</f>
        <v>5073.1976040297868</v>
      </c>
      <c r="AM69" s="84">
        <v>31</v>
      </c>
      <c r="AN69" s="85" t="str">
        <f t="shared" si="66"/>
        <v>31-50</v>
      </c>
      <c r="AO69" s="122">
        <f t="shared" si="67"/>
        <v>5073.1976040297868</v>
      </c>
      <c r="AP69" s="133"/>
      <c r="AQ69" s="133" t="str">
        <f t="shared" si="68"/>
        <v>0-20</v>
      </c>
      <c r="AR69" s="133">
        <f t="shared" si="69"/>
        <v>3844.3574443810608</v>
      </c>
      <c r="AS69" s="131"/>
      <c r="AT69" s="131"/>
      <c r="AU69" s="41"/>
      <c r="AV69" s="41"/>
      <c r="AW69" s="41"/>
    </row>
    <row r="70" spans="1:50" x14ac:dyDescent="0.25">
      <c r="A70" s="32">
        <v>67</v>
      </c>
      <c r="B70" s="13" t="s">
        <v>21</v>
      </c>
      <c r="C70" s="11" t="s">
        <v>214</v>
      </c>
      <c r="D70" s="10">
        <v>0</v>
      </c>
      <c r="E70" s="11" t="s">
        <v>215</v>
      </c>
      <c r="F70" s="34" t="s">
        <v>216</v>
      </c>
      <c r="G70" s="6" t="s">
        <v>159</v>
      </c>
      <c r="H70" s="33">
        <v>402401</v>
      </c>
      <c r="I70" s="90">
        <v>137</v>
      </c>
      <c r="J70" s="90" t="str">
        <f t="shared" si="53"/>
        <v>110-130</v>
      </c>
      <c r="K70" s="91">
        <f t="shared" si="54"/>
        <v>10159.810450732197</v>
      </c>
      <c r="L70" s="35">
        <v>146</v>
      </c>
      <c r="M70" s="35" t="str">
        <f t="shared" si="70"/>
        <v>110-130</v>
      </c>
      <c r="N70" s="36">
        <f t="shared" si="55"/>
        <v>10159.810450732197</v>
      </c>
      <c r="O70" s="51">
        <v>171</v>
      </c>
      <c r="P70" s="51" t="str">
        <f t="shared" si="60"/>
        <v>110-130</v>
      </c>
      <c r="Q70" s="51">
        <f t="shared" si="56"/>
        <v>10159.810450732197</v>
      </c>
      <c r="R70" s="49">
        <v>152</v>
      </c>
      <c r="S70" s="49" t="str">
        <f t="shared" si="57"/>
        <v>110-130</v>
      </c>
      <c r="T70" s="49">
        <f t="shared" si="58"/>
        <v>10159.810450732197</v>
      </c>
      <c r="U70" s="50">
        <v>155</v>
      </c>
      <c r="V70" s="50" t="str">
        <f t="shared" si="61"/>
        <v>110-130</v>
      </c>
      <c r="W70" s="50">
        <f t="shared" si="59"/>
        <v>10159.810450732197</v>
      </c>
      <c r="X70" s="143" t="s">
        <v>1458</v>
      </c>
      <c r="Y70" s="143" t="e">
        <f t="shared" si="62"/>
        <v>#N/A</v>
      </c>
      <c r="Z70" s="143" t="e">
        <f t="shared" si="63"/>
        <v>#N/A</v>
      </c>
      <c r="AA70" s="116"/>
      <c r="AB70" s="114" t="str">
        <f t="shared" si="64"/>
        <v>0-20</v>
      </c>
      <c r="AC70" s="114">
        <f t="shared" si="65"/>
        <v>3844.3574443810608</v>
      </c>
      <c r="AD70" s="129"/>
      <c r="AE70" s="129" t="str">
        <f t="shared" si="51"/>
        <v>0-20</v>
      </c>
      <c r="AF70" s="129">
        <f t="shared" si="52"/>
        <v>3844.3574443810608</v>
      </c>
      <c r="AG70" s="138"/>
      <c r="AH70" s="138" t="str">
        <f t="shared" si="41"/>
        <v>0-20</v>
      </c>
      <c r="AI70" s="138">
        <f t="shared" si="42"/>
        <v>3844.3574443810608</v>
      </c>
      <c r="AJ70" s="36">
        <v>153</v>
      </c>
      <c r="AK70" s="36" t="str">
        <f t="shared" si="71"/>
        <v>110-130</v>
      </c>
      <c r="AL70" s="37">
        <f t="shared" si="72"/>
        <v>10159.810450732197</v>
      </c>
      <c r="AM70" s="82">
        <v>96</v>
      </c>
      <c r="AN70" s="83" t="str">
        <f t="shared" si="66"/>
        <v>81-110</v>
      </c>
      <c r="AO70" s="121">
        <f t="shared" si="67"/>
        <v>8747.8561594387575</v>
      </c>
      <c r="AP70" s="133"/>
      <c r="AQ70" s="133" t="str">
        <f t="shared" si="68"/>
        <v>0-20</v>
      </c>
      <c r="AR70" s="133">
        <f t="shared" si="69"/>
        <v>3844.3574443810608</v>
      </c>
      <c r="AS70" s="131"/>
      <c r="AT70" s="131"/>
      <c r="AU70" s="41"/>
      <c r="AV70" s="41"/>
      <c r="AW70" s="41"/>
    </row>
    <row r="71" spans="1:50" x14ac:dyDescent="0.25">
      <c r="A71" s="32">
        <v>68</v>
      </c>
      <c r="B71" s="13" t="s">
        <v>21</v>
      </c>
      <c r="C71" s="11" t="s">
        <v>220</v>
      </c>
      <c r="D71" s="10" t="s">
        <v>945</v>
      </c>
      <c r="E71" s="11" t="s">
        <v>221</v>
      </c>
      <c r="F71" s="34" t="s">
        <v>222</v>
      </c>
      <c r="G71" s="6" t="s">
        <v>201</v>
      </c>
      <c r="H71" s="33">
        <v>402207</v>
      </c>
      <c r="I71" s="90">
        <v>105</v>
      </c>
      <c r="J71" s="90" t="str">
        <f t="shared" si="53"/>
        <v>81-110</v>
      </c>
      <c r="K71" s="91">
        <f t="shared" si="54"/>
        <v>8747.8561594387575</v>
      </c>
      <c r="L71" s="35">
        <v>101</v>
      </c>
      <c r="M71" s="35" t="str">
        <f t="shared" si="70"/>
        <v>81-110</v>
      </c>
      <c r="N71" s="36">
        <f t="shared" si="55"/>
        <v>8747.8561594387575</v>
      </c>
      <c r="O71" s="51">
        <v>127</v>
      </c>
      <c r="P71" s="51" t="str">
        <f t="shared" si="60"/>
        <v>110-130</v>
      </c>
      <c r="Q71" s="51">
        <f t="shared" si="56"/>
        <v>10159.810450732197</v>
      </c>
      <c r="R71" s="49">
        <v>107</v>
      </c>
      <c r="S71" s="49" t="str">
        <f t="shared" si="57"/>
        <v>81-110</v>
      </c>
      <c r="T71" s="49">
        <f t="shared" si="58"/>
        <v>8747.8561594387575</v>
      </c>
      <c r="U71" s="50">
        <v>97</v>
      </c>
      <c r="V71" s="50" t="str">
        <f t="shared" si="61"/>
        <v>81-110</v>
      </c>
      <c r="W71" s="50">
        <f t="shared" si="59"/>
        <v>8747.8561594387575</v>
      </c>
      <c r="X71" s="143" t="s">
        <v>1458</v>
      </c>
      <c r="Y71" s="143" t="e">
        <f t="shared" si="62"/>
        <v>#N/A</v>
      </c>
      <c r="Z71" s="143" t="e">
        <f t="shared" si="63"/>
        <v>#N/A</v>
      </c>
      <c r="AA71" s="116"/>
      <c r="AB71" s="114" t="str">
        <f t="shared" si="64"/>
        <v>0-20</v>
      </c>
      <c r="AC71" s="114">
        <f t="shared" si="65"/>
        <v>3844.3574443810608</v>
      </c>
      <c r="AD71" s="129"/>
      <c r="AE71" s="129" t="str">
        <f t="shared" si="51"/>
        <v>0-20</v>
      </c>
      <c r="AF71" s="129">
        <f t="shared" si="52"/>
        <v>3844.3574443810608</v>
      </c>
      <c r="AG71" s="138"/>
      <c r="AH71" s="138" t="str">
        <f t="shared" si="41"/>
        <v>0-20</v>
      </c>
      <c r="AI71" s="138">
        <f t="shared" si="42"/>
        <v>3844.3574443810608</v>
      </c>
      <c r="AJ71" s="36">
        <v>96</v>
      </c>
      <c r="AK71" s="36" t="str">
        <f t="shared" si="71"/>
        <v>81-110</v>
      </c>
      <c r="AL71" s="37">
        <f t="shared" si="72"/>
        <v>8747.8561594387575</v>
      </c>
      <c r="AM71" s="82">
        <v>59</v>
      </c>
      <c r="AN71" s="83" t="str">
        <f t="shared" si="66"/>
        <v>51-80</v>
      </c>
      <c r="AO71" s="121">
        <f t="shared" si="67"/>
        <v>6509</v>
      </c>
      <c r="AP71" s="133"/>
      <c r="AQ71" s="133" t="str">
        <f t="shared" si="68"/>
        <v>0-20</v>
      </c>
      <c r="AR71" s="133">
        <f t="shared" si="69"/>
        <v>3844.3574443810608</v>
      </c>
      <c r="AS71" s="131"/>
      <c r="AT71" s="131"/>
      <c r="AU71" s="41"/>
      <c r="AV71" s="41"/>
      <c r="AW71" s="41"/>
    </row>
    <row r="72" spans="1:50" x14ac:dyDescent="0.25">
      <c r="A72" s="32">
        <v>69</v>
      </c>
      <c r="B72" s="13" t="s">
        <v>21</v>
      </c>
      <c r="C72" s="11" t="s">
        <v>223</v>
      </c>
      <c r="D72" s="10" t="s">
        <v>946</v>
      </c>
      <c r="E72" s="11" t="s">
        <v>224</v>
      </c>
      <c r="F72" s="34" t="s">
        <v>225</v>
      </c>
      <c r="G72" s="6" t="s">
        <v>226</v>
      </c>
      <c r="H72" s="33">
        <v>401209</v>
      </c>
      <c r="I72" s="90">
        <v>144</v>
      </c>
      <c r="J72" s="90" t="str">
        <f t="shared" si="53"/>
        <v>110-130</v>
      </c>
      <c r="K72" s="91">
        <f t="shared" si="54"/>
        <v>10159.810450732197</v>
      </c>
      <c r="L72" s="35">
        <v>39</v>
      </c>
      <c r="M72" s="35" t="str">
        <f t="shared" si="70"/>
        <v>31-50</v>
      </c>
      <c r="N72" s="36">
        <f t="shared" si="55"/>
        <v>5073.1976040297868</v>
      </c>
      <c r="O72" s="51">
        <v>10.5</v>
      </c>
      <c r="P72" s="51" t="str">
        <f t="shared" si="60"/>
        <v>0-20</v>
      </c>
      <c r="Q72" s="51">
        <f t="shared" si="56"/>
        <v>3844.3574443810608</v>
      </c>
      <c r="R72" s="49">
        <v>46</v>
      </c>
      <c r="S72" s="49" t="str">
        <f t="shared" si="57"/>
        <v>31-50</v>
      </c>
      <c r="T72" s="49">
        <f t="shared" si="58"/>
        <v>5073.1976040297868</v>
      </c>
      <c r="U72" s="50">
        <v>57</v>
      </c>
      <c r="V72" s="50" t="str">
        <f t="shared" si="61"/>
        <v>51-80</v>
      </c>
      <c r="W72" s="50">
        <f t="shared" si="59"/>
        <v>6509</v>
      </c>
      <c r="X72" s="143">
        <v>63</v>
      </c>
      <c r="Y72" s="143" t="str">
        <f t="shared" si="62"/>
        <v>51-80</v>
      </c>
      <c r="Z72" s="143">
        <f t="shared" si="63"/>
        <v>6509</v>
      </c>
      <c r="AA72" s="116">
        <v>41</v>
      </c>
      <c r="AB72" s="114" t="str">
        <f t="shared" si="64"/>
        <v>31-50</v>
      </c>
      <c r="AC72" s="114">
        <f t="shared" si="65"/>
        <v>5073.1976040297868</v>
      </c>
      <c r="AD72" s="129"/>
      <c r="AE72" s="129" t="str">
        <f t="shared" si="51"/>
        <v>0-20</v>
      </c>
      <c r="AF72" s="129">
        <f t="shared" si="52"/>
        <v>3844.3574443810608</v>
      </c>
      <c r="AG72" s="139">
        <v>54</v>
      </c>
      <c r="AH72" s="138" t="str">
        <f t="shared" si="41"/>
        <v>51-80</v>
      </c>
      <c r="AI72" s="138">
        <f t="shared" si="42"/>
        <v>6509</v>
      </c>
      <c r="AJ72" s="36">
        <v>70</v>
      </c>
      <c r="AK72" s="36" t="str">
        <f t="shared" si="71"/>
        <v>51-80</v>
      </c>
      <c r="AL72" s="37">
        <f t="shared" si="72"/>
        <v>6509</v>
      </c>
      <c r="AM72" s="37">
        <v>106</v>
      </c>
      <c r="AN72" s="3" t="str">
        <f t="shared" si="66"/>
        <v>81-110</v>
      </c>
      <c r="AO72" s="119">
        <f t="shared" si="67"/>
        <v>8747.8561594387575</v>
      </c>
      <c r="AP72" s="133"/>
      <c r="AQ72" s="133" t="str">
        <f t="shared" si="68"/>
        <v>0-20</v>
      </c>
      <c r="AR72" s="133">
        <f t="shared" si="69"/>
        <v>3844.3574443810608</v>
      </c>
      <c r="AS72" s="131"/>
      <c r="AT72" s="131"/>
      <c r="AU72" s="41"/>
      <c r="AV72" s="41"/>
      <c r="AW72" s="41"/>
    </row>
    <row r="73" spans="1:50" x14ac:dyDescent="0.25">
      <c r="A73" s="32">
        <v>70</v>
      </c>
      <c r="B73" s="13" t="s">
        <v>21</v>
      </c>
      <c r="C73" s="11" t="s">
        <v>227</v>
      </c>
      <c r="D73" s="10" t="s">
        <v>947</v>
      </c>
      <c r="E73" s="11" t="s">
        <v>228</v>
      </c>
      <c r="F73" s="34" t="s">
        <v>229</v>
      </c>
      <c r="G73" s="6" t="s">
        <v>46</v>
      </c>
      <c r="H73" s="33">
        <v>421301</v>
      </c>
      <c r="I73" s="90">
        <v>109</v>
      </c>
      <c r="J73" s="90" t="str">
        <f t="shared" si="53"/>
        <v>81-110</v>
      </c>
      <c r="K73" s="91">
        <f t="shared" si="54"/>
        <v>8747.8561594387575</v>
      </c>
      <c r="L73" s="35">
        <v>22</v>
      </c>
      <c r="M73" s="35" t="str">
        <f t="shared" si="70"/>
        <v>21-30</v>
      </c>
      <c r="N73" s="36">
        <f t="shared" si="55"/>
        <v>4508.6394748902885</v>
      </c>
      <c r="O73" s="51">
        <v>49</v>
      </c>
      <c r="P73" s="51" t="str">
        <f t="shared" si="60"/>
        <v>31-50</v>
      </c>
      <c r="Q73" s="51">
        <f t="shared" si="56"/>
        <v>5073.1976040297868</v>
      </c>
      <c r="R73" s="49">
        <v>45</v>
      </c>
      <c r="S73" s="49" t="str">
        <f t="shared" si="57"/>
        <v>31-50</v>
      </c>
      <c r="T73" s="49">
        <f t="shared" si="58"/>
        <v>5073.1976040297868</v>
      </c>
      <c r="U73" s="50">
        <v>38</v>
      </c>
      <c r="V73" s="50" t="str">
        <f t="shared" si="61"/>
        <v>31-50</v>
      </c>
      <c r="W73" s="50">
        <f t="shared" si="59"/>
        <v>5073.1976040297868</v>
      </c>
      <c r="X73" s="143" t="s">
        <v>1458</v>
      </c>
      <c r="Y73" s="143" t="e">
        <f t="shared" si="62"/>
        <v>#N/A</v>
      </c>
      <c r="Z73" s="143" t="e">
        <f t="shared" si="63"/>
        <v>#N/A</v>
      </c>
      <c r="AA73" s="116"/>
      <c r="AB73" s="114" t="str">
        <f t="shared" si="64"/>
        <v>0-20</v>
      </c>
      <c r="AC73" s="114">
        <f t="shared" si="65"/>
        <v>3844.3574443810608</v>
      </c>
      <c r="AD73" s="129"/>
      <c r="AE73" s="129" t="str">
        <f t="shared" si="51"/>
        <v>0-20</v>
      </c>
      <c r="AF73" s="129">
        <f t="shared" si="52"/>
        <v>3844.3574443810608</v>
      </c>
      <c r="AG73" s="138">
        <v>80</v>
      </c>
      <c r="AH73" s="138" t="str">
        <f t="shared" si="41"/>
        <v>51-80</v>
      </c>
      <c r="AI73" s="138">
        <f t="shared" si="42"/>
        <v>6509</v>
      </c>
      <c r="AJ73" s="36">
        <v>46</v>
      </c>
      <c r="AK73" s="36" t="str">
        <f t="shared" si="71"/>
        <v>31-50</v>
      </c>
      <c r="AL73" s="37">
        <f t="shared" si="72"/>
        <v>5073.1976040297868</v>
      </c>
      <c r="AM73" s="37"/>
      <c r="AN73" s="3" t="str">
        <f t="shared" si="66"/>
        <v>0-20</v>
      </c>
      <c r="AO73" s="119">
        <f t="shared" si="67"/>
        <v>3844.3574443810608</v>
      </c>
      <c r="AP73" s="133"/>
      <c r="AQ73" s="133" t="str">
        <f t="shared" si="68"/>
        <v>0-20</v>
      </c>
      <c r="AR73" s="133">
        <f t="shared" si="69"/>
        <v>3844.3574443810608</v>
      </c>
      <c r="AS73" s="131"/>
      <c r="AT73" s="131"/>
      <c r="AU73" s="41"/>
      <c r="AV73" s="41"/>
      <c r="AW73" s="41"/>
    </row>
    <row r="74" spans="1:50" x14ac:dyDescent="0.25">
      <c r="A74" s="32">
        <v>71</v>
      </c>
      <c r="B74" s="13" t="s">
        <v>21</v>
      </c>
      <c r="C74" s="11" t="s">
        <v>230</v>
      </c>
      <c r="D74" s="10">
        <v>0</v>
      </c>
      <c r="E74" s="11" t="s">
        <v>231</v>
      </c>
      <c r="F74" s="34" t="s">
        <v>232</v>
      </c>
      <c r="G74" s="6" t="s">
        <v>233</v>
      </c>
      <c r="H74" s="33">
        <v>410201</v>
      </c>
      <c r="I74" s="90">
        <v>67</v>
      </c>
      <c r="J74" s="90" t="str">
        <f t="shared" si="53"/>
        <v>51-80</v>
      </c>
      <c r="K74" s="91">
        <f t="shared" si="54"/>
        <v>6509</v>
      </c>
      <c r="L74" s="35">
        <v>73</v>
      </c>
      <c r="M74" s="35" t="str">
        <f t="shared" si="70"/>
        <v>51-80</v>
      </c>
      <c r="N74" s="36">
        <f t="shared" si="55"/>
        <v>6509</v>
      </c>
      <c r="O74" s="51">
        <v>98</v>
      </c>
      <c r="P74" s="51" t="str">
        <f t="shared" si="60"/>
        <v>81-110</v>
      </c>
      <c r="Q74" s="51">
        <f t="shared" si="56"/>
        <v>8747.8561594387575</v>
      </c>
      <c r="R74" s="49">
        <v>84</v>
      </c>
      <c r="S74" s="49" t="str">
        <f t="shared" si="57"/>
        <v>81-110</v>
      </c>
      <c r="T74" s="49">
        <f t="shared" si="58"/>
        <v>8747.8561594387575</v>
      </c>
      <c r="U74" s="50">
        <v>86</v>
      </c>
      <c r="V74" s="50" t="str">
        <f t="shared" si="61"/>
        <v>81-110</v>
      </c>
      <c r="W74" s="50">
        <f t="shared" si="59"/>
        <v>8747.8561594387575</v>
      </c>
      <c r="X74" s="143" t="s">
        <v>1458</v>
      </c>
      <c r="Y74" s="143" t="e">
        <f t="shared" si="62"/>
        <v>#N/A</v>
      </c>
      <c r="Z74" s="143" t="e">
        <f t="shared" si="63"/>
        <v>#N/A</v>
      </c>
      <c r="AA74" s="116"/>
      <c r="AB74" s="114" t="str">
        <f t="shared" si="64"/>
        <v>0-20</v>
      </c>
      <c r="AC74" s="114">
        <f t="shared" si="65"/>
        <v>3844.3574443810608</v>
      </c>
      <c r="AD74" s="129"/>
      <c r="AE74" s="129" t="str">
        <f t="shared" si="51"/>
        <v>0-20</v>
      </c>
      <c r="AF74" s="129">
        <f t="shared" si="52"/>
        <v>3844.3574443810608</v>
      </c>
      <c r="AG74" s="138"/>
      <c r="AH74" s="138" t="str">
        <f t="shared" si="41"/>
        <v>0-20</v>
      </c>
      <c r="AI74" s="138">
        <f t="shared" si="42"/>
        <v>3844.3574443810608</v>
      </c>
      <c r="AJ74" s="36">
        <v>84</v>
      </c>
      <c r="AK74" s="36" t="str">
        <f t="shared" si="71"/>
        <v>81-110</v>
      </c>
      <c r="AL74" s="37">
        <f t="shared" si="72"/>
        <v>8747.8561594387575</v>
      </c>
      <c r="AM74" s="82">
        <v>42</v>
      </c>
      <c r="AN74" s="83" t="str">
        <f t="shared" si="66"/>
        <v>31-50</v>
      </c>
      <c r="AO74" s="121">
        <f t="shared" si="67"/>
        <v>5073.1976040297868</v>
      </c>
      <c r="AP74" s="133"/>
      <c r="AQ74" s="133" t="str">
        <f t="shared" si="68"/>
        <v>0-20</v>
      </c>
      <c r="AR74" s="133">
        <f t="shared" si="69"/>
        <v>3844.3574443810608</v>
      </c>
      <c r="AS74" s="131"/>
      <c r="AT74" s="131"/>
      <c r="AU74" s="41"/>
      <c r="AV74" s="41"/>
      <c r="AW74" s="41"/>
    </row>
    <row r="75" spans="1:50" x14ac:dyDescent="0.25">
      <c r="A75" s="32">
        <v>72</v>
      </c>
      <c r="B75" s="13" t="s">
        <v>21</v>
      </c>
      <c r="C75" s="11" t="s">
        <v>234</v>
      </c>
      <c r="D75" s="10">
        <v>0</v>
      </c>
      <c r="E75" s="11" t="s">
        <v>235</v>
      </c>
      <c r="F75" s="34" t="s">
        <v>236</v>
      </c>
      <c r="G75" s="6" t="s">
        <v>237</v>
      </c>
      <c r="H75" s="33">
        <v>421306</v>
      </c>
      <c r="I75" s="90">
        <v>109</v>
      </c>
      <c r="J75" s="90" t="str">
        <f t="shared" si="53"/>
        <v>81-110</v>
      </c>
      <c r="K75" s="91">
        <f t="shared" si="54"/>
        <v>8747.8561594387575</v>
      </c>
      <c r="L75" s="35">
        <v>26</v>
      </c>
      <c r="M75" s="35" t="str">
        <f t="shared" si="70"/>
        <v>21-30</v>
      </c>
      <c r="N75" s="36">
        <f t="shared" si="55"/>
        <v>4508.6394748902885</v>
      </c>
      <c r="O75" s="51">
        <v>42.1</v>
      </c>
      <c r="P75" s="51" t="str">
        <f t="shared" si="60"/>
        <v>31-50</v>
      </c>
      <c r="Q75" s="51">
        <f t="shared" si="56"/>
        <v>5073.1976040297868</v>
      </c>
      <c r="R75" s="49">
        <v>46</v>
      </c>
      <c r="S75" s="49" t="str">
        <f t="shared" si="57"/>
        <v>31-50</v>
      </c>
      <c r="T75" s="49">
        <f t="shared" si="58"/>
        <v>5073.1976040297868</v>
      </c>
      <c r="U75" s="50">
        <v>40</v>
      </c>
      <c r="V75" s="50" t="str">
        <f t="shared" si="61"/>
        <v>31-50</v>
      </c>
      <c r="W75" s="50">
        <f t="shared" si="59"/>
        <v>5073.1976040297868</v>
      </c>
      <c r="X75" s="143" t="s">
        <v>1458</v>
      </c>
      <c r="Y75" s="143" t="e">
        <f t="shared" si="62"/>
        <v>#N/A</v>
      </c>
      <c r="Z75" s="143" t="e">
        <f t="shared" si="63"/>
        <v>#N/A</v>
      </c>
      <c r="AA75" s="116"/>
      <c r="AB75" s="114" t="str">
        <f t="shared" si="64"/>
        <v>0-20</v>
      </c>
      <c r="AC75" s="114">
        <f t="shared" si="65"/>
        <v>3844.3574443810608</v>
      </c>
      <c r="AD75" s="129"/>
      <c r="AE75" s="129" t="str">
        <f t="shared" si="51"/>
        <v>0-20</v>
      </c>
      <c r="AF75" s="129">
        <f t="shared" si="52"/>
        <v>3844.3574443810608</v>
      </c>
      <c r="AG75" s="139">
        <v>109</v>
      </c>
      <c r="AH75" s="138" t="str">
        <f t="shared" si="41"/>
        <v>81-110</v>
      </c>
      <c r="AI75" s="138">
        <f t="shared" si="42"/>
        <v>8747.8561594387575</v>
      </c>
      <c r="AJ75" s="36">
        <v>48</v>
      </c>
      <c r="AK75" s="36" t="str">
        <f t="shared" si="71"/>
        <v>31-50</v>
      </c>
      <c r="AL75" s="37">
        <f t="shared" si="72"/>
        <v>5073.1976040297868</v>
      </c>
      <c r="AM75" s="37">
        <v>65</v>
      </c>
      <c r="AN75" s="3" t="str">
        <f t="shared" si="66"/>
        <v>51-80</v>
      </c>
      <c r="AO75" s="119">
        <f t="shared" si="67"/>
        <v>6509</v>
      </c>
      <c r="AP75" s="133"/>
      <c r="AQ75" s="133" t="str">
        <f t="shared" si="68"/>
        <v>0-20</v>
      </c>
      <c r="AR75" s="133">
        <f t="shared" si="69"/>
        <v>3844.3574443810608</v>
      </c>
      <c r="AS75" s="131"/>
      <c r="AT75" s="131"/>
      <c r="AU75" s="41"/>
      <c r="AV75" s="41"/>
      <c r="AW75" s="41"/>
    </row>
    <row r="76" spans="1:50" x14ac:dyDescent="0.25">
      <c r="A76" s="32">
        <v>73</v>
      </c>
      <c r="B76" s="13" t="s">
        <v>21</v>
      </c>
      <c r="C76" s="11" t="s">
        <v>217</v>
      </c>
      <c r="D76" s="10" t="s">
        <v>948</v>
      </c>
      <c r="E76" s="11" t="s">
        <v>218</v>
      </c>
      <c r="F76" s="34" t="s">
        <v>219</v>
      </c>
      <c r="G76" s="6" t="s">
        <v>50</v>
      </c>
      <c r="H76" s="33">
        <v>401107</v>
      </c>
      <c r="I76" s="90">
        <v>127</v>
      </c>
      <c r="J76" s="90" t="str">
        <f t="shared" si="53"/>
        <v>110-130</v>
      </c>
      <c r="K76" s="91">
        <f t="shared" si="54"/>
        <v>10159.810450732197</v>
      </c>
      <c r="L76" s="99">
        <v>23</v>
      </c>
      <c r="M76" s="99" t="str">
        <f t="shared" si="70"/>
        <v>21-30</v>
      </c>
      <c r="N76" s="100">
        <f t="shared" si="55"/>
        <v>4508.6394748902885</v>
      </c>
      <c r="O76" s="51">
        <v>27.7</v>
      </c>
      <c r="P76" s="51" t="str">
        <f t="shared" si="60"/>
        <v>21-30</v>
      </c>
      <c r="Q76" s="51">
        <f t="shared" si="56"/>
        <v>4508.6394748902885</v>
      </c>
      <c r="R76" s="49">
        <v>23</v>
      </c>
      <c r="S76" s="49" t="str">
        <f t="shared" si="57"/>
        <v>21-30</v>
      </c>
      <c r="T76" s="49">
        <f t="shared" si="58"/>
        <v>4508.6394748902885</v>
      </c>
      <c r="U76" s="50">
        <v>32</v>
      </c>
      <c r="V76" s="50" t="str">
        <f t="shared" si="61"/>
        <v>31-50</v>
      </c>
      <c r="W76" s="50">
        <f t="shared" si="59"/>
        <v>5073.1976040297868</v>
      </c>
      <c r="X76" s="143" t="s">
        <v>1458</v>
      </c>
      <c r="Y76" s="143" t="e">
        <f t="shared" si="62"/>
        <v>#N/A</v>
      </c>
      <c r="Z76" s="143" t="e">
        <f t="shared" si="63"/>
        <v>#N/A</v>
      </c>
      <c r="AA76" s="116"/>
      <c r="AB76" s="114" t="str">
        <f t="shared" si="64"/>
        <v>0-20</v>
      </c>
      <c r="AC76" s="114">
        <f t="shared" si="65"/>
        <v>3844.3574443810608</v>
      </c>
      <c r="AD76" s="129"/>
      <c r="AE76" s="129" t="str">
        <f t="shared" si="51"/>
        <v>0-20</v>
      </c>
      <c r="AF76" s="129">
        <f t="shared" si="52"/>
        <v>3844.3574443810608</v>
      </c>
      <c r="AG76" s="138">
        <v>72</v>
      </c>
      <c r="AH76" s="138" t="str">
        <f t="shared" si="41"/>
        <v>51-80</v>
      </c>
      <c r="AI76" s="138">
        <f t="shared" si="42"/>
        <v>6509</v>
      </c>
      <c r="AJ76" s="36">
        <v>42</v>
      </c>
      <c r="AK76" s="36" t="str">
        <f t="shared" si="71"/>
        <v>31-50</v>
      </c>
      <c r="AL76" s="37">
        <f t="shared" si="72"/>
        <v>5073.1976040297868</v>
      </c>
      <c r="AM76" s="37"/>
      <c r="AN76" s="3" t="str">
        <f t="shared" si="66"/>
        <v>0-20</v>
      </c>
      <c r="AO76" s="119">
        <f t="shared" si="67"/>
        <v>3844.3574443810608</v>
      </c>
      <c r="AP76" s="133"/>
      <c r="AQ76" s="133" t="str">
        <f t="shared" si="68"/>
        <v>0-20</v>
      </c>
      <c r="AR76" s="133">
        <f t="shared" si="69"/>
        <v>3844.3574443810608</v>
      </c>
      <c r="AS76" s="131"/>
      <c r="AT76" s="131"/>
      <c r="AU76" s="41"/>
      <c r="AV76" s="41"/>
      <c r="AW76" s="41"/>
    </row>
    <row r="77" spans="1:50" x14ac:dyDescent="0.25">
      <c r="A77" s="32">
        <v>74</v>
      </c>
      <c r="B77" s="13" t="s">
        <v>21</v>
      </c>
      <c r="C77" s="11" t="s">
        <v>240</v>
      </c>
      <c r="D77" s="10" t="s">
        <v>949</v>
      </c>
      <c r="E77" s="11" t="s">
        <v>241</v>
      </c>
      <c r="F77" s="34" t="s">
        <v>242</v>
      </c>
      <c r="G77" s="6" t="s">
        <v>127</v>
      </c>
      <c r="H77" s="33">
        <v>401202</v>
      </c>
      <c r="I77" s="90">
        <v>146</v>
      </c>
      <c r="J77" s="90" t="str">
        <f t="shared" si="53"/>
        <v>110-130</v>
      </c>
      <c r="K77" s="91">
        <f t="shared" si="54"/>
        <v>10159.810450732197</v>
      </c>
      <c r="L77" s="35">
        <v>41</v>
      </c>
      <c r="M77" s="35" t="str">
        <f t="shared" si="70"/>
        <v>31-50</v>
      </c>
      <c r="N77" s="36">
        <f t="shared" si="55"/>
        <v>5073.1976040297868</v>
      </c>
      <c r="O77" s="51">
        <v>20</v>
      </c>
      <c r="P77" s="51" t="str">
        <f t="shared" si="60"/>
        <v>0-20</v>
      </c>
      <c r="Q77" s="51">
        <f t="shared" si="56"/>
        <v>3844.3574443810608</v>
      </c>
      <c r="R77" s="49">
        <v>48</v>
      </c>
      <c r="S77" s="49" t="str">
        <f t="shared" si="57"/>
        <v>31-50</v>
      </c>
      <c r="T77" s="49">
        <f t="shared" si="58"/>
        <v>5073.1976040297868</v>
      </c>
      <c r="U77" s="50">
        <v>52</v>
      </c>
      <c r="V77" s="50" t="str">
        <f t="shared" si="61"/>
        <v>51-80</v>
      </c>
      <c r="W77" s="50">
        <f t="shared" si="59"/>
        <v>6509</v>
      </c>
      <c r="X77" s="143" t="s">
        <v>1458</v>
      </c>
      <c r="Y77" s="143" t="e">
        <f t="shared" si="62"/>
        <v>#N/A</v>
      </c>
      <c r="Z77" s="143" t="e">
        <f t="shared" si="63"/>
        <v>#N/A</v>
      </c>
      <c r="AA77" s="116"/>
      <c r="AB77" s="114" t="str">
        <f t="shared" si="64"/>
        <v>0-20</v>
      </c>
      <c r="AC77" s="114">
        <f t="shared" si="65"/>
        <v>3844.3574443810608</v>
      </c>
      <c r="AD77" s="129"/>
      <c r="AE77" s="129" t="str">
        <f t="shared" si="51"/>
        <v>0-20</v>
      </c>
      <c r="AF77" s="129">
        <f t="shared" si="52"/>
        <v>3844.3574443810608</v>
      </c>
      <c r="AG77" s="138">
        <v>60</v>
      </c>
      <c r="AH77" s="138" t="str">
        <f t="shared" si="41"/>
        <v>51-80</v>
      </c>
      <c r="AI77" s="138">
        <f t="shared" si="42"/>
        <v>6509</v>
      </c>
      <c r="AJ77" s="36">
        <v>64</v>
      </c>
      <c r="AK77" s="36" t="str">
        <f t="shared" si="71"/>
        <v>51-80</v>
      </c>
      <c r="AL77" s="37">
        <f t="shared" si="72"/>
        <v>6509</v>
      </c>
      <c r="AM77" s="37"/>
      <c r="AN77" s="3" t="str">
        <f t="shared" si="66"/>
        <v>0-20</v>
      </c>
      <c r="AO77" s="119">
        <f t="shared" si="67"/>
        <v>3844.3574443810608</v>
      </c>
      <c r="AP77" s="133"/>
      <c r="AQ77" s="133" t="str">
        <f t="shared" si="68"/>
        <v>0-20</v>
      </c>
      <c r="AR77" s="133">
        <f t="shared" si="69"/>
        <v>3844.3574443810608</v>
      </c>
      <c r="AS77" s="131"/>
      <c r="AT77" s="131"/>
      <c r="AU77" s="41"/>
      <c r="AV77" s="41"/>
      <c r="AW77" s="41"/>
    </row>
    <row r="78" spans="1:50" x14ac:dyDescent="0.25">
      <c r="A78" s="32">
        <v>75</v>
      </c>
      <c r="B78" s="13" t="s">
        <v>21</v>
      </c>
      <c r="C78" s="11" t="s">
        <v>238</v>
      </c>
      <c r="D78" s="10" t="s">
        <v>950</v>
      </c>
      <c r="E78" s="11" t="s">
        <v>239</v>
      </c>
      <c r="F78" s="34" t="s">
        <v>570</v>
      </c>
      <c r="G78" s="6" t="s">
        <v>111</v>
      </c>
      <c r="H78" s="33">
        <v>410210</v>
      </c>
      <c r="I78" s="90">
        <v>84</v>
      </c>
      <c r="J78" s="90" t="str">
        <f t="shared" si="53"/>
        <v>81-110</v>
      </c>
      <c r="K78" s="91">
        <f t="shared" si="54"/>
        <v>8747.8561594387575</v>
      </c>
      <c r="L78" s="99">
        <v>32</v>
      </c>
      <c r="M78" s="99" t="str">
        <f t="shared" si="70"/>
        <v>31-50</v>
      </c>
      <c r="N78" s="100">
        <f t="shared" si="55"/>
        <v>5073.1976040297868</v>
      </c>
      <c r="O78" s="51">
        <v>54</v>
      </c>
      <c r="P78" s="51" t="str">
        <f t="shared" si="60"/>
        <v>51-80</v>
      </c>
      <c r="Q78" s="51">
        <f t="shared" si="56"/>
        <v>6509</v>
      </c>
      <c r="R78" s="49">
        <v>43</v>
      </c>
      <c r="S78" s="49" t="str">
        <f t="shared" si="57"/>
        <v>31-50</v>
      </c>
      <c r="T78" s="49">
        <f t="shared" si="58"/>
        <v>5073.1976040297868</v>
      </c>
      <c r="U78" s="50">
        <v>31</v>
      </c>
      <c r="V78" s="50" t="str">
        <f t="shared" si="61"/>
        <v>31-50</v>
      </c>
      <c r="W78" s="50">
        <f t="shared" si="59"/>
        <v>5073.1976040297868</v>
      </c>
      <c r="X78" s="143" t="s">
        <v>1458</v>
      </c>
      <c r="Y78" s="143" t="e">
        <f t="shared" si="62"/>
        <v>#N/A</v>
      </c>
      <c r="Z78" s="143" t="e">
        <f t="shared" si="63"/>
        <v>#N/A</v>
      </c>
      <c r="AA78" s="116"/>
      <c r="AB78" s="114" t="str">
        <f t="shared" si="64"/>
        <v>0-20</v>
      </c>
      <c r="AC78" s="114">
        <f t="shared" si="65"/>
        <v>3844.3574443810608</v>
      </c>
      <c r="AD78" s="129"/>
      <c r="AE78" s="129" t="str">
        <f t="shared" si="51"/>
        <v>0-20</v>
      </c>
      <c r="AF78" s="129">
        <f t="shared" si="52"/>
        <v>3844.3574443810608</v>
      </c>
      <c r="AG78" s="138">
        <v>111</v>
      </c>
      <c r="AH78" s="138" t="str">
        <f t="shared" si="41"/>
        <v>110-130</v>
      </c>
      <c r="AI78" s="138">
        <f t="shared" si="42"/>
        <v>10159.810450732197</v>
      </c>
      <c r="AJ78" s="36">
        <v>27</v>
      </c>
      <c r="AK78" s="36" t="str">
        <f t="shared" si="71"/>
        <v>21-30</v>
      </c>
      <c r="AL78" s="37">
        <f t="shared" si="72"/>
        <v>4508.6394748902885</v>
      </c>
      <c r="AM78" s="84">
        <v>38</v>
      </c>
      <c r="AN78" s="85" t="str">
        <f t="shared" si="66"/>
        <v>31-50</v>
      </c>
      <c r="AO78" s="122">
        <f t="shared" si="67"/>
        <v>5073.1976040297868</v>
      </c>
      <c r="AP78" s="133"/>
      <c r="AQ78" s="133" t="str">
        <f t="shared" si="68"/>
        <v>0-20</v>
      </c>
      <c r="AR78" s="133">
        <f t="shared" si="69"/>
        <v>3844.3574443810608</v>
      </c>
      <c r="AS78" s="131"/>
      <c r="AT78" s="131"/>
      <c r="AU78" s="41"/>
      <c r="AV78" s="41"/>
      <c r="AW78" s="41"/>
    </row>
    <row r="79" spans="1:50" x14ac:dyDescent="0.25">
      <c r="A79" s="32">
        <v>76</v>
      </c>
      <c r="B79" s="13" t="s">
        <v>21</v>
      </c>
      <c r="C79" s="11" t="s">
        <v>244</v>
      </c>
      <c r="D79" s="10">
        <v>0</v>
      </c>
      <c r="E79" s="11" t="s">
        <v>239</v>
      </c>
      <c r="F79" s="34" t="s">
        <v>245</v>
      </c>
      <c r="G79" s="6" t="s">
        <v>246</v>
      </c>
      <c r="H79" s="33">
        <v>400601</v>
      </c>
      <c r="I79" s="90">
        <v>106</v>
      </c>
      <c r="J79" s="90" t="str">
        <f t="shared" si="53"/>
        <v>81-110</v>
      </c>
      <c r="K79" s="91">
        <f t="shared" si="54"/>
        <v>8747.8561594387575</v>
      </c>
      <c r="L79" s="35">
        <v>5</v>
      </c>
      <c r="M79" s="35" t="str">
        <f t="shared" si="70"/>
        <v>0-20</v>
      </c>
      <c r="N79" s="36">
        <f t="shared" si="55"/>
        <v>3844.3574443810608</v>
      </c>
      <c r="O79" s="51">
        <v>32</v>
      </c>
      <c r="P79" s="51" t="str">
        <f t="shared" si="60"/>
        <v>31-50</v>
      </c>
      <c r="Q79" s="51">
        <f t="shared" si="56"/>
        <v>5073.1976040297868</v>
      </c>
      <c r="R79" s="49">
        <v>24</v>
      </c>
      <c r="S79" s="49" t="str">
        <f t="shared" si="57"/>
        <v>21-30</v>
      </c>
      <c r="T79" s="49">
        <f t="shared" si="58"/>
        <v>4508.6394748902885</v>
      </c>
      <c r="U79" s="50">
        <v>21</v>
      </c>
      <c r="V79" s="50" t="str">
        <f t="shared" si="61"/>
        <v>21-30</v>
      </c>
      <c r="W79" s="50">
        <f t="shared" si="59"/>
        <v>4508.6394748902885</v>
      </c>
      <c r="X79" s="143" t="s">
        <v>1458</v>
      </c>
      <c r="Y79" s="143" t="e">
        <f t="shared" si="62"/>
        <v>#N/A</v>
      </c>
      <c r="Z79" s="143" t="e">
        <f t="shared" si="63"/>
        <v>#N/A</v>
      </c>
      <c r="AA79" s="116"/>
      <c r="AB79" s="114" t="str">
        <f t="shared" si="64"/>
        <v>0-20</v>
      </c>
      <c r="AC79" s="114">
        <f t="shared" si="65"/>
        <v>3844.3574443810608</v>
      </c>
      <c r="AD79" s="129"/>
      <c r="AE79" s="129" t="str">
        <f t="shared" si="51"/>
        <v>0-20</v>
      </c>
      <c r="AF79" s="129">
        <f t="shared" si="52"/>
        <v>3844.3574443810608</v>
      </c>
      <c r="AG79" s="138">
        <v>85</v>
      </c>
      <c r="AH79" s="138" t="str">
        <f t="shared" si="41"/>
        <v>81-110</v>
      </c>
      <c r="AI79" s="138">
        <f t="shared" si="42"/>
        <v>8747.8561594387575</v>
      </c>
      <c r="AJ79" s="36">
        <v>29</v>
      </c>
      <c r="AK79" s="36" t="str">
        <f t="shared" si="71"/>
        <v>21-30</v>
      </c>
      <c r="AL79" s="37">
        <f t="shared" si="72"/>
        <v>4508.6394748902885</v>
      </c>
      <c r="AM79" s="37"/>
      <c r="AN79" s="3" t="str">
        <f t="shared" si="66"/>
        <v>0-20</v>
      </c>
      <c r="AO79" s="119">
        <f t="shared" si="67"/>
        <v>3844.3574443810608</v>
      </c>
      <c r="AP79" s="133"/>
      <c r="AQ79" s="133" t="str">
        <f t="shared" si="68"/>
        <v>0-20</v>
      </c>
      <c r="AR79" s="133">
        <f t="shared" si="69"/>
        <v>3844.3574443810608</v>
      </c>
      <c r="AS79" s="131"/>
      <c r="AT79" s="131"/>
      <c r="AU79" s="41"/>
      <c r="AV79" s="41"/>
      <c r="AW79" s="41"/>
    </row>
    <row r="80" spans="1:50" x14ac:dyDescent="0.25">
      <c r="A80" s="32">
        <v>77</v>
      </c>
      <c r="B80" s="13" t="s">
        <v>21</v>
      </c>
      <c r="C80" s="11" t="s">
        <v>247</v>
      </c>
      <c r="D80" s="10">
        <v>0</v>
      </c>
      <c r="E80" s="11" t="s">
        <v>248</v>
      </c>
      <c r="F80" s="34" t="s">
        <v>249</v>
      </c>
      <c r="G80" s="6" t="s">
        <v>250</v>
      </c>
      <c r="H80" s="33">
        <v>421601</v>
      </c>
      <c r="I80" s="90">
        <v>158</v>
      </c>
      <c r="J80" s="90" t="str">
        <f t="shared" si="53"/>
        <v>110-130</v>
      </c>
      <c r="K80" s="91">
        <f t="shared" si="54"/>
        <v>10159.810450732197</v>
      </c>
      <c r="L80" s="35">
        <v>62</v>
      </c>
      <c r="M80" s="35" t="str">
        <f t="shared" si="70"/>
        <v>51-80</v>
      </c>
      <c r="N80" s="36">
        <f t="shared" si="55"/>
        <v>6509</v>
      </c>
      <c r="O80" s="51">
        <v>63</v>
      </c>
      <c r="P80" s="51" t="str">
        <f t="shared" si="60"/>
        <v>51-80</v>
      </c>
      <c r="Q80" s="51">
        <f t="shared" si="56"/>
        <v>6509</v>
      </c>
      <c r="R80" s="49">
        <v>85</v>
      </c>
      <c r="S80" s="49" t="str">
        <f t="shared" si="57"/>
        <v>81-110</v>
      </c>
      <c r="T80" s="49">
        <f t="shared" si="58"/>
        <v>8747.8561594387575</v>
      </c>
      <c r="U80" s="50">
        <v>79</v>
      </c>
      <c r="V80" s="50" t="str">
        <f t="shared" si="61"/>
        <v>51-80</v>
      </c>
      <c r="W80" s="50">
        <f t="shared" si="59"/>
        <v>6509</v>
      </c>
      <c r="X80" s="143" t="s">
        <v>1458</v>
      </c>
      <c r="Y80" s="143" t="e">
        <f t="shared" si="62"/>
        <v>#N/A</v>
      </c>
      <c r="Z80" s="143" t="e">
        <f t="shared" si="63"/>
        <v>#N/A</v>
      </c>
      <c r="AA80" s="116"/>
      <c r="AB80" s="114" t="str">
        <f t="shared" si="64"/>
        <v>0-20</v>
      </c>
      <c r="AC80" s="114">
        <f t="shared" si="65"/>
        <v>3844.3574443810608</v>
      </c>
      <c r="AD80" s="129"/>
      <c r="AE80" s="129" t="str">
        <f t="shared" si="51"/>
        <v>0-20</v>
      </c>
      <c r="AF80" s="129">
        <f t="shared" si="52"/>
        <v>3844.3574443810608</v>
      </c>
      <c r="AG80" s="138"/>
      <c r="AH80" s="138" t="str">
        <f t="shared" si="41"/>
        <v>0-20</v>
      </c>
      <c r="AI80" s="138">
        <f t="shared" si="42"/>
        <v>3844.3574443810608</v>
      </c>
      <c r="AJ80" s="36">
        <v>86</v>
      </c>
      <c r="AK80" s="36" t="str">
        <f t="shared" si="71"/>
        <v>81-110</v>
      </c>
      <c r="AL80" s="37">
        <f t="shared" si="72"/>
        <v>8747.8561594387575</v>
      </c>
      <c r="AM80" s="37">
        <v>98</v>
      </c>
      <c r="AN80" s="3" t="str">
        <f t="shared" si="66"/>
        <v>81-110</v>
      </c>
      <c r="AO80" s="119">
        <f t="shared" si="67"/>
        <v>8747.8561594387575</v>
      </c>
      <c r="AP80" s="133"/>
      <c r="AQ80" s="133" t="str">
        <f t="shared" si="68"/>
        <v>0-20</v>
      </c>
      <c r="AR80" s="133">
        <f t="shared" si="69"/>
        <v>3844.3574443810608</v>
      </c>
      <c r="AS80" s="131"/>
      <c r="AT80" s="131"/>
      <c r="AU80" s="41"/>
      <c r="AV80" s="41"/>
      <c r="AW80" s="41"/>
    </row>
    <row r="81" spans="1:49" x14ac:dyDescent="0.25">
      <c r="A81" s="32">
        <v>78</v>
      </c>
      <c r="B81" s="13" t="s">
        <v>21</v>
      </c>
      <c r="C81" s="11" t="s">
        <v>251</v>
      </c>
      <c r="D81" s="10">
        <v>0</v>
      </c>
      <c r="E81" s="11" t="s">
        <v>252</v>
      </c>
      <c r="F81" s="34" t="s">
        <v>253</v>
      </c>
      <c r="G81" s="6" t="s">
        <v>46</v>
      </c>
      <c r="H81" s="33">
        <v>421301</v>
      </c>
      <c r="I81" s="90">
        <v>109</v>
      </c>
      <c r="J81" s="90" t="str">
        <f t="shared" si="53"/>
        <v>81-110</v>
      </c>
      <c r="K81" s="91">
        <f t="shared" si="54"/>
        <v>8747.8561594387575</v>
      </c>
      <c r="L81" s="35">
        <v>22</v>
      </c>
      <c r="M81" s="35" t="str">
        <f t="shared" si="70"/>
        <v>21-30</v>
      </c>
      <c r="N81" s="36">
        <f t="shared" si="55"/>
        <v>4508.6394748902885</v>
      </c>
      <c r="O81" s="51">
        <v>45.4</v>
      </c>
      <c r="P81" s="51" t="str">
        <f t="shared" si="60"/>
        <v>31-50</v>
      </c>
      <c r="Q81" s="51">
        <f t="shared" si="56"/>
        <v>5073.1976040297868</v>
      </c>
      <c r="R81" s="49">
        <v>44</v>
      </c>
      <c r="S81" s="49" t="str">
        <f t="shared" si="57"/>
        <v>31-50</v>
      </c>
      <c r="T81" s="49">
        <f t="shared" si="58"/>
        <v>5073.1976040297868</v>
      </c>
      <c r="U81" s="50">
        <v>39</v>
      </c>
      <c r="V81" s="50" t="str">
        <f t="shared" si="61"/>
        <v>31-50</v>
      </c>
      <c r="W81" s="50">
        <f t="shared" si="59"/>
        <v>5073.1976040297868</v>
      </c>
      <c r="X81" s="143" t="s">
        <v>1458</v>
      </c>
      <c r="Y81" s="143" t="e">
        <f t="shared" si="62"/>
        <v>#N/A</v>
      </c>
      <c r="Z81" s="143" t="e">
        <f t="shared" si="63"/>
        <v>#N/A</v>
      </c>
      <c r="AA81" s="116"/>
      <c r="AB81" s="114" t="str">
        <f t="shared" si="64"/>
        <v>0-20</v>
      </c>
      <c r="AC81" s="114">
        <f t="shared" si="65"/>
        <v>3844.3574443810608</v>
      </c>
      <c r="AD81" s="129"/>
      <c r="AE81" s="129" t="str">
        <f t="shared" si="51"/>
        <v>0-20</v>
      </c>
      <c r="AF81" s="129">
        <f t="shared" si="52"/>
        <v>3844.3574443810608</v>
      </c>
      <c r="AG81" s="138">
        <v>80</v>
      </c>
      <c r="AH81" s="138" t="str">
        <f t="shared" si="41"/>
        <v>51-80</v>
      </c>
      <c r="AI81" s="138">
        <f t="shared" si="42"/>
        <v>6509</v>
      </c>
      <c r="AJ81" s="36">
        <v>46</v>
      </c>
      <c r="AK81" s="36" t="str">
        <f t="shared" si="71"/>
        <v>31-50</v>
      </c>
      <c r="AL81" s="37">
        <f t="shared" si="72"/>
        <v>5073.1976040297868</v>
      </c>
      <c r="AM81" s="37">
        <v>65</v>
      </c>
      <c r="AN81" s="3" t="str">
        <f t="shared" si="66"/>
        <v>51-80</v>
      </c>
      <c r="AO81" s="119">
        <f t="shared" si="67"/>
        <v>6509</v>
      </c>
      <c r="AP81" s="133"/>
      <c r="AQ81" s="133" t="str">
        <f t="shared" si="68"/>
        <v>0-20</v>
      </c>
      <c r="AR81" s="133">
        <f t="shared" si="69"/>
        <v>3844.3574443810608</v>
      </c>
      <c r="AS81" s="131"/>
      <c r="AT81" s="131"/>
      <c r="AU81" s="41"/>
      <c r="AV81" s="41"/>
      <c r="AW81" s="41"/>
    </row>
    <row r="82" spans="1:49" x14ac:dyDescent="0.25">
      <c r="A82" s="32">
        <v>79</v>
      </c>
      <c r="B82" s="13" t="s">
        <v>21</v>
      </c>
      <c r="C82" s="11" t="s">
        <v>254</v>
      </c>
      <c r="D82" s="10">
        <v>0</v>
      </c>
      <c r="E82" s="11" t="s">
        <v>255</v>
      </c>
      <c r="F82" s="34" t="s">
        <v>256</v>
      </c>
      <c r="G82" s="6" t="s">
        <v>190</v>
      </c>
      <c r="H82" s="33">
        <v>402301</v>
      </c>
      <c r="I82" s="90">
        <v>172</v>
      </c>
      <c r="J82" s="90" t="str">
        <f t="shared" si="53"/>
        <v>110-130</v>
      </c>
      <c r="K82" s="91">
        <f t="shared" si="54"/>
        <v>10159.810450732197</v>
      </c>
      <c r="L82" s="35">
        <v>192</v>
      </c>
      <c r="M82" s="35" t="str">
        <f t="shared" si="70"/>
        <v>110-130</v>
      </c>
      <c r="N82" s="36">
        <f t="shared" si="55"/>
        <v>10159.810450732197</v>
      </c>
      <c r="O82" s="51">
        <v>217</v>
      </c>
      <c r="P82" s="51" t="str">
        <f t="shared" si="60"/>
        <v>110-130</v>
      </c>
      <c r="Q82" s="51">
        <f t="shared" si="56"/>
        <v>10159.810450732197</v>
      </c>
      <c r="R82" s="49">
        <v>203</v>
      </c>
      <c r="S82" s="49" t="str">
        <f t="shared" si="57"/>
        <v>110-130</v>
      </c>
      <c r="T82" s="49">
        <f t="shared" si="58"/>
        <v>10159.810450732197</v>
      </c>
      <c r="U82" s="50">
        <v>190</v>
      </c>
      <c r="V82" s="50" t="str">
        <f t="shared" si="61"/>
        <v>110-130</v>
      </c>
      <c r="W82" s="50">
        <f t="shared" si="59"/>
        <v>10159.810450732197</v>
      </c>
      <c r="X82" s="143" t="s">
        <v>1458</v>
      </c>
      <c r="Y82" s="143" t="e">
        <f t="shared" si="62"/>
        <v>#N/A</v>
      </c>
      <c r="Z82" s="143" t="e">
        <f t="shared" si="63"/>
        <v>#N/A</v>
      </c>
      <c r="AA82" s="116"/>
      <c r="AB82" s="114" t="str">
        <f t="shared" si="64"/>
        <v>0-20</v>
      </c>
      <c r="AC82" s="114">
        <f t="shared" si="65"/>
        <v>3844.3574443810608</v>
      </c>
      <c r="AD82" s="129"/>
      <c r="AE82" s="129" t="str">
        <f t="shared" si="51"/>
        <v>0-20</v>
      </c>
      <c r="AF82" s="129">
        <f t="shared" si="52"/>
        <v>3844.3574443810608</v>
      </c>
      <c r="AG82" s="138"/>
      <c r="AH82" s="138" t="str">
        <f t="shared" si="41"/>
        <v>0-20</v>
      </c>
      <c r="AI82" s="138">
        <f t="shared" si="42"/>
        <v>3844.3574443810608</v>
      </c>
      <c r="AJ82" s="36">
        <v>189</v>
      </c>
      <c r="AK82" s="36" t="str">
        <f t="shared" si="71"/>
        <v>110-130</v>
      </c>
      <c r="AL82" s="37">
        <f t="shared" si="72"/>
        <v>10159.810450732197</v>
      </c>
      <c r="AM82" s="37"/>
      <c r="AN82" s="3" t="str">
        <f t="shared" si="66"/>
        <v>0-20</v>
      </c>
      <c r="AO82" s="119">
        <f t="shared" si="67"/>
        <v>3844.3574443810608</v>
      </c>
      <c r="AP82" s="133"/>
      <c r="AQ82" s="133" t="str">
        <f t="shared" si="68"/>
        <v>0-20</v>
      </c>
      <c r="AR82" s="133">
        <f t="shared" si="69"/>
        <v>3844.3574443810608</v>
      </c>
      <c r="AS82" s="131"/>
      <c r="AT82" s="131"/>
      <c r="AU82" s="41"/>
      <c r="AV82" s="41"/>
      <c r="AW82" s="41"/>
    </row>
    <row r="83" spans="1:49" x14ac:dyDescent="0.25">
      <c r="A83" s="32">
        <v>80</v>
      </c>
      <c r="B83" s="13" t="s">
        <v>21</v>
      </c>
      <c r="C83" s="11" t="s">
        <v>257</v>
      </c>
      <c r="D83" s="10" t="s">
        <v>951</v>
      </c>
      <c r="E83" s="11" t="s">
        <v>258</v>
      </c>
      <c r="F83" s="34" t="s">
        <v>1260</v>
      </c>
      <c r="G83" s="6" t="s">
        <v>89</v>
      </c>
      <c r="H83" s="33">
        <v>401602</v>
      </c>
      <c r="I83" s="90">
        <v>221</v>
      </c>
      <c r="J83" s="90" t="str">
        <f t="shared" si="53"/>
        <v>110-130</v>
      </c>
      <c r="K83" s="91">
        <f t="shared" si="54"/>
        <v>10159.810450732197</v>
      </c>
      <c r="L83" s="35">
        <v>115</v>
      </c>
      <c r="M83" s="35" t="str">
        <f t="shared" si="70"/>
        <v>110-130</v>
      </c>
      <c r="N83" s="36">
        <f t="shared" si="55"/>
        <v>10159.810450732197</v>
      </c>
      <c r="O83" s="51">
        <v>75</v>
      </c>
      <c r="P83" s="51" t="str">
        <f t="shared" si="60"/>
        <v>51-80</v>
      </c>
      <c r="Q83" s="51">
        <f t="shared" si="56"/>
        <v>6509</v>
      </c>
      <c r="R83" s="49">
        <v>105</v>
      </c>
      <c r="S83" s="49" t="str">
        <f t="shared" si="57"/>
        <v>81-110</v>
      </c>
      <c r="T83" s="49">
        <f t="shared" si="58"/>
        <v>8747.8561594387575</v>
      </c>
      <c r="U83" s="50">
        <v>126</v>
      </c>
      <c r="V83" s="50" t="str">
        <f t="shared" si="61"/>
        <v>110-130</v>
      </c>
      <c r="W83" s="50">
        <f t="shared" si="59"/>
        <v>10159.810450732197</v>
      </c>
      <c r="X83" s="143">
        <v>95</v>
      </c>
      <c r="Y83" s="143" t="str">
        <f t="shared" ref="Y83" si="73">VLOOKUP(X83,$AV$4:$AW$9,2,1)</f>
        <v>81-110</v>
      </c>
      <c r="Z83" s="143">
        <f t="shared" ref="Z83" si="74">VLOOKUP(Y83,$AW$3:$AX$9,2,0)</f>
        <v>8747.8561594387575</v>
      </c>
      <c r="AA83" s="116">
        <v>97</v>
      </c>
      <c r="AB83" s="114" t="str">
        <f t="shared" si="64"/>
        <v>81-110</v>
      </c>
      <c r="AC83" s="114">
        <f t="shared" si="65"/>
        <v>8747.8561594387575</v>
      </c>
      <c r="AD83" s="129">
        <v>99</v>
      </c>
      <c r="AE83" s="129" t="str">
        <f>VLOOKUP(AD83,$AV$4:$AW$9,2,1)</f>
        <v>81-110</v>
      </c>
      <c r="AF83" s="129">
        <f>VLOOKUP(AE83,$AW$3:$AX$9,2,0)</f>
        <v>8747.8561594387575</v>
      </c>
      <c r="AG83" s="138">
        <v>66</v>
      </c>
      <c r="AH83" s="138" t="str">
        <f t="shared" si="41"/>
        <v>51-80</v>
      </c>
      <c r="AI83" s="138">
        <f t="shared" si="42"/>
        <v>6509</v>
      </c>
      <c r="AJ83" s="36">
        <v>139</v>
      </c>
      <c r="AK83" s="36" t="str">
        <f t="shared" si="71"/>
        <v>110-130</v>
      </c>
      <c r="AL83" s="37">
        <f t="shared" si="72"/>
        <v>10159.810450732197</v>
      </c>
      <c r="AM83" s="37">
        <v>188</v>
      </c>
      <c r="AN83" s="3" t="str">
        <f t="shared" si="66"/>
        <v>110-130</v>
      </c>
      <c r="AO83" s="119">
        <f t="shared" si="67"/>
        <v>10159.810450732197</v>
      </c>
      <c r="AP83" s="133"/>
      <c r="AQ83" s="133" t="str">
        <f t="shared" si="68"/>
        <v>0-20</v>
      </c>
      <c r="AR83" s="133">
        <f t="shared" si="69"/>
        <v>3844.3574443810608</v>
      </c>
      <c r="AS83" s="131"/>
      <c r="AT83" s="131"/>
      <c r="AU83" s="41"/>
      <c r="AV83" s="41"/>
      <c r="AW83" s="41"/>
    </row>
    <row r="84" spans="1:49" x14ac:dyDescent="0.25">
      <c r="A84" s="32">
        <v>81</v>
      </c>
      <c r="B84" s="13" t="s">
        <v>21</v>
      </c>
      <c r="C84" s="11" t="s">
        <v>259</v>
      </c>
      <c r="D84" s="10">
        <v>0</v>
      </c>
      <c r="E84" s="11" t="s">
        <v>260</v>
      </c>
      <c r="F84" s="34" t="s">
        <v>261</v>
      </c>
      <c r="G84" s="6" t="s">
        <v>262</v>
      </c>
      <c r="H84" s="33">
        <v>401104</v>
      </c>
      <c r="I84" s="90">
        <v>127</v>
      </c>
      <c r="J84" s="90" t="str">
        <f t="shared" si="53"/>
        <v>110-130</v>
      </c>
      <c r="K84" s="91">
        <f t="shared" si="54"/>
        <v>10159.810450732197</v>
      </c>
      <c r="L84" s="35">
        <v>23</v>
      </c>
      <c r="M84" s="35" t="str">
        <f t="shared" si="70"/>
        <v>21-30</v>
      </c>
      <c r="N84" s="36">
        <f t="shared" si="55"/>
        <v>4508.6394748902885</v>
      </c>
      <c r="O84" s="51">
        <v>30</v>
      </c>
      <c r="P84" s="51" t="str">
        <f t="shared" si="60"/>
        <v>21-30</v>
      </c>
      <c r="Q84" s="51">
        <f t="shared" si="56"/>
        <v>4508.6394748902885</v>
      </c>
      <c r="R84" s="49">
        <v>23</v>
      </c>
      <c r="S84" s="49" t="str">
        <f t="shared" si="57"/>
        <v>21-30</v>
      </c>
      <c r="T84" s="49">
        <f t="shared" si="58"/>
        <v>4508.6394748902885</v>
      </c>
      <c r="U84" s="50">
        <v>32</v>
      </c>
      <c r="V84" s="50" t="str">
        <f t="shared" si="61"/>
        <v>31-50</v>
      </c>
      <c r="W84" s="50">
        <f t="shared" si="59"/>
        <v>5073.1976040297868</v>
      </c>
      <c r="X84" s="143" t="s">
        <v>1458</v>
      </c>
      <c r="Y84" s="143" t="e">
        <f t="shared" si="62"/>
        <v>#N/A</v>
      </c>
      <c r="Z84" s="143" t="e">
        <f t="shared" si="63"/>
        <v>#N/A</v>
      </c>
      <c r="AA84" s="116"/>
      <c r="AB84" s="114" t="str">
        <f t="shared" si="64"/>
        <v>0-20</v>
      </c>
      <c r="AC84" s="114">
        <f t="shared" si="65"/>
        <v>3844.3574443810608</v>
      </c>
      <c r="AD84" s="129"/>
      <c r="AE84" s="129" t="str">
        <f t="shared" ref="AE84:AE148" si="75">VLOOKUP(AD84,$AV$4:$AW$9,2,1)</f>
        <v>0-20</v>
      </c>
      <c r="AF84" s="129">
        <f t="shared" ref="AF84:AF148" si="76">VLOOKUP(AE84,$AW$3:$AX$9,2,0)</f>
        <v>3844.3574443810608</v>
      </c>
      <c r="AG84" s="138">
        <v>72</v>
      </c>
      <c r="AH84" s="138" t="str">
        <f t="shared" si="41"/>
        <v>51-80</v>
      </c>
      <c r="AI84" s="138">
        <f t="shared" si="42"/>
        <v>6509</v>
      </c>
      <c r="AJ84" s="36">
        <v>40</v>
      </c>
      <c r="AK84" s="36" t="str">
        <f t="shared" si="71"/>
        <v>31-50</v>
      </c>
      <c r="AL84" s="37">
        <f t="shared" si="72"/>
        <v>5073.1976040297868</v>
      </c>
      <c r="AM84" s="37"/>
      <c r="AN84" s="3" t="str">
        <f t="shared" si="66"/>
        <v>0-20</v>
      </c>
      <c r="AO84" s="119">
        <f t="shared" si="67"/>
        <v>3844.3574443810608</v>
      </c>
      <c r="AP84" s="133"/>
      <c r="AQ84" s="133" t="str">
        <f t="shared" si="68"/>
        <v>0-20</v>
      </c>
      <c r="AR84" s="133">
        <f t="shared" si="69"/>
        <v>3844.3574443810608</v>
      </c>
      <c r="AS84" s="131"/>
      <c r="AT84" s="131"/>
      <c r="AU84" s="41"/>
      <c r="AV84" s="41"/>
      <c r="AW84" s="41"/>
    </row>
    <row r="85" spans="1:49" x14ac:dyDescent="0.25">
      <c r="A85" s="32">
        <v>82</v>
      </c>
      <c r="B85" s="13" t="s">
        <v>21</v>
      </c>
      <c r="C85" s="11" t="s">
        <v>553</v>
      </c>
      <c r="D85" s="10" t="s">
        <v>952</v>
      </c>
      <c r="E85" s="11" t="s">
        <v>554</v>
      </c>
      <c r="F85" s="34" t="s">
        <v>555</v>
      </c>
      <c r="G85" s="6" t="s">
        <v>201</v>
      </c>
      <c r="H85" s="33">
        <v>402201</v>
      </c>
      <c r="I85" s="90">
        <v>120</v>
      </c>
      <c r="J85" s="90" t="str">
        <f>VLOOKUP(I85,'[1]M2 Trip Matrix'!$AB$3:$AC$8,2,1)</f>
        <v>110-130</v>
      </c>
      <c r="K85" s="91">
        <f t="shared" si="54"/>
        <v>10159.810450732197</v>
      </c>
      <c r="L85" s="35">
        <v>102</v>
      </c>
      <c r="M85" s="35" t="str">
        <f>VLOOKUP(L85,'[1]M2 Trip Matrix'!$AB$3:$AC$8,2,1)</f>
        <v>81-110</v>
      </c>
      <c r="N85" s="36">
        <f>VLOOKUP(M85,'[1]M2 Trip Matrix'!$AC$2:$AD$8,2,0)</f>
        <v>8454</v>
      </c>
      <c r="O85" s="51">
        <v>131</v>
      </c>
      <c r="P85" s="51" t="str">
        <f t="shared" si="60"/>
        <v>110-130</v>
      </c>
      <c r="Q85" s="51">
        <f t="shared" si="56"/>
        <v>10159.810450732197</v>
      </c>
      <c r="R85" s="49">
        <v>105</v>
      </c>
      <c r="S85" s="49" t="str">
        <f t="shared" si="57"/>
        <v>81-110</v>
      </c>
      <c r="T85" s="49">
        <f t="shared" si="58"/>
        <v>8747.8561594387575</v>
      </c>
      <c r="U85" s="50">
        <v>95</v>
      </c>
      <c r="V85" s="50" t="str">
        <f t="shared" si="61"/>
        <v>81-110</v>
      </c>
      <c r="W85" s="50">
        <f t="shared" si="59"/>
        <v>8747.8561594387575</v>
      </c>
      <c r="X85" s="143" t="s">
        <v>1458</v>
      </c>
      <c r="Y85" s="143" t="e">
        <f t="shared" si="62"/>
        <v>#N/A</v>
      </c>
      <c r="Z85" s="143" t="e">
        <f t="shared" si="63"/>
        <v>#N/A</v>
      </c>
      <c r="AA85" s="116"/>
      <c r="AB85" s="114" t="str">
        <f t="shared" si="64"/>
        <v>0-20</v>
      </c>
      <c r="AC85" s="114">
        <f t="shared" si="65"/>
        <v>3844.3574443810608</v>
      </c>
      <c r="AD85" s="129"/>
      <c r="AE85" s="129" t="str">
        <f t="shared" si="75"/>
        <v>0-20</v>
      </c>
      <c r="AF85" s="129">
        <f t="shared" si="76"/>
        <v>3844.3574443810608</v>
      </c>
      <c r="AG85" s="138"/>
      <c r="AH85" s="138" t="str">
        <f t="shared" si="41"/>
        <v>0-20</v>
      </c>
      <c r="AI85" s="138">
        <f t="shared" si="42"/>
        <v>3844.3574443810608</v>
      </c>
      <c r="AJ85" s="36">
        <v>95</v>
      </c>
      <c r="AK85" s="36" t="str">
        <f t="shared" si="71"/>
        <v>81-110</v>
      </c>
      <c r="AL85" s="37">
        <f t="shared" si="72"/>
        <v>8747.8561594387575</v>
      </c>
      <c r="AM85" s="37"/>
      <c r="AN85" s="3" t="str">
        <f t="shared" si="66"/>
        <v>0-20</v>
      </c>
      <c r="AO85" s="119">
        <f t="shared" si="67"/>
        <v>3844.3574443810608</v>
      </c>
      <c r="AP85" s="133"/>
      <c r="AQ85" s="133" t="str">
        <f t="shared" si="68"/>
        <v>0-20</v>
      </c>
      <c r="AR85" s="133">
        <f t="shared" si="69"/>
        <v>3844.3574443810608</v>
      </c>
      <c r="AS85" s="131"/>
      <c r="AT85" s="131"/>
      <c r="AU85" s="41"/>
      <c r="AV85" s="41"/>
      <c r="AW85" s="41"/>
    </row>
    <row r="86" spans="1:49" x14ac:dyDescent="0.25">
      <c r="A86" s="32">
        <v>83</v>
      </c>
      <c r="B86" s="13" t="s">
        <v>21</v>
      </c>
      <c r="C86" s="11" t="s">
        <v>263</v>
      </c>
      <c r="D86" s="10" t="s">
        <v>953</v>
      </c>
      <c r="E86" s="11" t="s">
        <v>264</v>
      </c>
      <c r="F86" s="34" t="s">
        <v>265</v>
      </c>
      <c r="G86" s="6" t="s">
        <v>107</v>
      </c>
      <c r="H86" s="33">
        <v>401202</v>
      </c>
      <c r="I86" s="90">
        <v>146</v>
      </c>
      <c r="J86" s="90" t="str">
        <f>VLOOKUP(I86,$AV$4:$AW$9,2,1)</f>
        <v>110-130</v>
      </c>
      <c r="K86" s="91">
        <f t="shared" si="54"/>
        <v>10159.810450732197</v>
      </c>
      <c r="L86" s="35">
        <v>41</v>
      </c>
      <c r="M86" s="35" t="str">
        <f>VLOOKUP(L86,$AV$4:$AW$9,2,1)</f>
        <v>31-50</v>
      </c>
      <c r="N86" s="36">
        <f>VLOOKUP(M86,$AW$3:$AX$9,2,0)</f>
        <v>5073.1976040297868</v>
      </c>
      <c r="O86" s="51">
        <v>13</v>
      </c>
      <c r="P86" s="51" t="str">
        <f t="shared" si="60"/>
        <v>0-20</v>
      </c>
      <c r="Q86" s="51">
        <f t="shared" si="56"/>
        <v>3844.3574443810608</v>
      </c>
      <c r="R86" s="49">
        <v>48</v>
      </c>
      <c r="S86" s="49" t="str">
        <f t="shared" si="57"/>
        <v>31-50</v>
      </c>
      <c r="T86" s="49">
        <f t="shared" si="58"/>
        <v>5073.1976040297868</v>
      </c>
      <c r="U86" s="50">
        <v>39</v>
      </c>
      <c r="V86" s="50" t="str">
        <f t="shared" si="61"/>
        <v>31-50</v>
      </c>
      <c r="W86" s="50">
        <f t="shared" si="59"/>
        <v>5073.1976040297868</v>
      </c>
      <c r="X86" s="143">
        <v>50</v>
      </c>
      <c r="Y86" s="143" t="str">
        <f t="shared" si="62"/>
        <v>31-50</v>
      </c>
      <c r="Z86" s="143">
        <f t="shared" si="63"/>
        <v>5073.1976040297868</v>
      </c>
      <c r="AA86" s="116"/>
      <c r="AB86" s="114" t="str">
        <f t="shared" si="64"/>
        <v>0-20</v>
      </c>
      <c r="AC86" s="114">
        <f t="shared" si="65"/>
        <v>3844.3574443810608</v>
      </c>
      <c r="AD86" s="129"/>
      <c r="AE86" s="129" t="str">
        <f t="shared" si="75"/>
        <v>0-20</v>
      </c>
      <c r="AF86" s="129">
        <f t="shared" si="76"/>
        <v>3844.3574443810608</v>
      </c>
      <c r="AG86" s="138">
        <v>60</v>
      </c>
      <c r="AH86" s="138" t="str">
        <f t="shared" si="41"/>
        <v>51-80</v>
      </c>
      <c r="AI86" s="138">
        <f t="shared" si="42"/>
        <v>6509</v>
      </c>
      <c r="AJ86" s="36">
        <v>52</v>
      </c>
      <c r="AK86" s="36" t="str">
        <f t="shared" si="71"/>
        <v>51-80</v>
      </c>
      <c r="AL86" s="37">
        <f t="shared" si="72"/>
        <v>6509</v>
      </c>
      <c r="AM86" s="37"/>
      <c r="AN86" s="3" t="str">
        <f t="shared" si="66"/>
        <v>0-20</v>
      </c>
      <c r="AO86" s="119">
        <f t="shared" si="67"/>
        <v>3844.3574443810608</v>
      </c>
      <c r="AP86" s="133"/>
      <c r="AQ86" s="133" t="str">
        <f t="shared" si="68"/>
        <v>0-20</v>
      </c>
      <c r="AR86" s="133">
        <f t="shared" si="69"/>
        <v>3844.3574443810608</v>
      </c>
      <c r="AS86" s="131"/>
      <c r="AT86" s="131"/>
      <c r="AU86" s="41"/>
      <c r="AV86" s="41"/>
      <c r="AW86" s="41"/>
    </row>
    <row r="87" spans="1:49" x14ac:dyDescent="0.25">
      <c r="A87" s="32">
        <v>84</v>
      </c>
      <c r="B87" s="13" t="s">
        <v>21</v>
      </c>
      <c r="C87" s="11" t="s">
        <v>495</v>
      </c>
      <c r="D87" s="10" t="s">
        <v>954</v>
      </c>
      <c r="E87" s="11" t="s">
        <v>267</v>
      </c>
      <c r="F87" s="34" t="s">
        <v>497</v>
      </c>
      <c r="G87" s="6" t="s">
        <v>494</v>
      </c>
      <c r="H87" s="33">
        <v>400701</v>
      </c>
      <c r="I87" s="90">
        <v>110</v>
      </c>
      <c r="J87" s="90" t="str">
        <f>VLOOKUP(I87,'[1]M2 Trip Matrix'!$AB$3:$AC$8,2,1)</f>
        <v>110-130</v>
      </c>
      <c r="K87" s="91">
        <f>VLOOKUP(J87,'[1]M2 Trip Matrix'!$AC$2:$AD$8,2,0)</f>
        <v>9818</v>
      </c>
      <c r="L87" s="35">
        <v>18</v>
      </c>
      <c r="M87" s="35" t="str">
        <f>VLOOKUP(L87,'[1]M2 Trip Matrix'!$AB$3:$AC$8,2,1)</f>
        <v>0-20</v>
      </c>
      <c r="N87" s="36">
        <f>VLOOKUP(M87,'[1]M2 Trip Matrix'!$AC$2:$AD$8,2,0)</f>
        <v>3715</v>
      </c>
      <c r="O87" s="51">
        <v>0</v>
      </c>
      <c r="P87" s="51" t="str">
        <f t="shared" si="60"/>
        <v>0-20</v>
      </c>
      <c r="Q87" s="51">
        <f t="shared" si="56"/>
        <v>3844.3574443810608</v>
      </c>
      <c r="R87" s="49">
        <v>45</v>
      </c>
      <c r="S87" s="49" t="str">
        <f t="shared" si="57"/>
        <v>31-50</v>
      </c>
      <c r="T87" s="49">
        <f t="shared" si="58"/>
        <v>5073.1976040297868</v>
      </c>
      <c r="U87" s="50">
        <v>39</v>
      </c>
      <c r="V87" s="50" t="str">
        <f t="shared" si="61"/>
        <v>31-50</v>
      </c>
      <c r="W87" s="50">
        <f t="shared" si="59"/>
        <v>5073.1976040297868</v>
      </c>
      <c r="X87" s="143" t="s">
        <v>1458</v>
      </c>
      <c r="Y87" s="143" t="e">
        <f t="shared" si="62"/>
        <v>#N/A</v>
      </c>
      <c r="Z87" s="143" t="e">
        <f t="shared" si="63"/>
        <v>#N/A</v>
      </c>
      <c r="AA87" s="116"/>
      <c r="AB87" s="114" t="str">
        <f t="shared" si="64"/>
        <v>0-20</v>
      </c>
      <c r="AC87" s="114">
        <f t="shared" si="65"/>
        <v>3844.3574443810608</v>
      </c>
      <c r="AD87" s="129"/>
      <c r="AE87" s="129" t="str">
        <f t="shared" si="75"/>
        <v>0-20</v>
      </c>
      <c r="AF87" s="129">
        <f t="shared" si="76"/>
        <v>3844.3574443810608</v>
      </c>
      <c r="AG87" s="138">
        <v>96</v>
      </c>
      <c r="AH87" s="138" t="str">
        <f t="shared" si="41"/>
        <v>81-110</v>
      </c>
      <c r="AI87" s="138">
        <f t="shared" si="42"/>
        <v>8747.8561594387575</v>
      </c>
      <c r="AJ87" s="36">
        <v>44</v>
      </c>
      <c r="AK87" s="36" t="str">
        <f t="shared" si="71"/>
        <v>31-50</v>
      </c>
      <c r="AL87" s="37">
        <f t="shared" si="72"/>
        <v>5073.1976040297868</v>
      </c>
      <c r="AM87" s="37">
        <v>57</v>
      </c>
      <c r="AN87" s="3" t="str">
        <f t="shared" si="66"/>
        <v>51-80</v>
      </c>
      <c r="AO87" s="119">
        <f t="shared" si="67"/>
        <v>6509</v>
      </c>
      <c r="AP87" s="133"/>
      <c r="AQ87" s="133" t="str">
        <f t="shared" si="68"/>
        <v>0-20</v>
      </c>
      <c r="AR87" s="133">
        <f t="shared" si="69"/>
        <v>3844.3574443810608</v>
      </c>
      <c r="AS87" s="131"/>
      <c r="AT87" s="131"/>
      <c r="AU87" s="41"/>
      <c r="AV87" s="41"/>
      <c r="AW87" s="41"/>
    </row>
    <row r="88" spans="1:49" x14ac:dyDescent="0.25">
      <c r="A88" s="32">
        <v>85</v>
      </c>
      <c r="B88" s="13" t="s">
        <v>21</v>
      </c>
      <c r="C88" s="11" t="s">
        <v>266</v>
      </c>
      <c r="D88" s="10" t="s">
        <v>955</v>
      </c>
      <c r="E88" s="11" t="s">
        <v>267</v>
      </c>
      <c r="F88" s="34" t="s">
        <v>268</v>
      </c>
      <c r="G88" s="6" t="s">
        <v>745</v>
      </c>
      <c r="H88" s="33">
        <v>400015</v>
      </c>
      <c r="I88" s="90">
        <v>112</v>
      </c>
      <c r="J88" s="90" t="str">
        <f t="shared" ref="J88:J102" si="77">VLOOKUP(I88,$AV$4:$AW$9,2,1)</f>
        <v>110-130</v>
      </c>
      <c r="K88" s="91">
        <f t="shared" ref="K88:K102" si="78">VLOOKUP(J88,$AW$3:$AX$9,2,0)</f>
        <v>10159.810450732197</v>
      </c>
      <c r="L88" s="35">
        <v>33</v>
      </c>
      <c r="M88" s="35" t="str">
        <f t="shared" ref="M88:M102" si="79">VLOOKUP(L88,$AV$4:$AW$9,2,1)</f>
        <v>31-50</v>
      </c>
      <c r="N88" s="36">
        <f t="shared" ref="N88:N102" si="80">VLOOKUP(M88,$AW$3:$AX$9,2,0)</f>
        <v>5073.1976040297868</v>
      </c>
      <c r="O88" s="51">
        <v>58</v>
      </c>
      <c r="P88" s="51" t="str">
        <f t="shared" si="60"/>
        <v>51-80</v>
      </c>
      <c r="Q88" s="51">
        <f t="shared" si="56"/>
        <v>6509</v>
      </c>
      <c r="R88" s="85">
        <v>18</v>
      </c>
      <c r="S88" s="85" t="str">
        <f t="shared" si="57"/>
        <v>0-20</v>
      </c>
      <c r="T88" s="85">
        <f t="shared" si="58"/>
        <v>3844.3574443810608</v>
      </c>
      <c r="U88" s="50">
        <v>23</v>
      </c>
      <c r="V88" s="50" t="str">
        <f t="shared" si="61"/>
        <v>21-30</v>
      </c>
      <c r="W88" s="50">
        <f t="shared" si="59"/>
        <v>4508.6394748902885</v>
      </c>
      <c r="X88" s="143" t="s">
        <v>1458</v>
      </c>
      <c r="Y88" s="143" t="e">
        <f t="shared" si="62"/>
        <v>#N/A</v>
      </c>
      <c r="Z88" s="143" t="e">
        <f t="shared" si="63"/>
        <v>#N/A</v>
      </c>
      <c r="AA88" s="116"/>
      <c r="AB88" s="114" t="str">
        <f t="shared" si="64"/>
        <v>0-20</v>
      </c>
      <c r="AC88" s="114">
        <f t="shared" si="65"/>
        <v>3844.3574443810608</v>
      </c>
      <c r="AD88" s="129"/>
      <c r="AE88" s="129" t="str">
        <f t="shared" si="75"/>
        <v>0-20</v>
      </c>
      <c r="AF88" s="129">
        <f t="shared" si="76"/>
        <v>3844.3574443810608</v>
      </c>
      <c r="AG88" s="138"/>
      <c r="AH88" s="138" t="str">
        <f t="shared" si="41"/>
        <v>0-20</v>
      </c>
      <c r="AI88" s="138">
        <f t="shared" si="42"/>
        <v>3844.3574443810608</v>
      </c>
      <c r="AJ88" s="36">
        <v>50</v>
      </c>
      <c r="AK88" s="36" t="str">
        <f t="shared" si="71"/>
        <v>31-50</v>
      </c>
      <c r="AL88" s="37">
        <f t="shared" si="72"/>
        <v>5073.1976040297868</v>
      </c>
      <c r="AM88" s="37">
        <v>58</v>
      </c>
      <c r="AN88" s="3" t="str">
        <f t="shared" si="66"/>
        <v>51-80</v>
      </c>
      <c r="AO88" s="119">
        <f t="shared" si="67"/>
        <v>6509</v>
      </c>
      <c r="AP88" s="133"/>
      <c r="AQ88" s="133" t="str">
        <f t="shared" si="68"/>
        <v>0-20</v>
      </c>
      <c r="AR88" s="133">
        <f t="shared" si="69"/>
        <v>3844.3574443810608</v>
      </c>
      <c r="AS88" s="131"/>
      <c r="AT88" s="131"/>
      <c r="AU88" s="41"/>
      <c r="AV88" s="41"/>
      <c r="AW88" s="41"/>
    </row>
    <row r="89" spans="1:49" x14ac:dyDescent="0.25">
      <c r="A89" s="32">
        <v>86</v>
      </c>
      <c r="B89" s="13" t="s">
        <v>21</v>
      </c>
      <c r="C89" s="11" t="s">
        <v>699</v>
      </c>
      <c r="D89" s="10" t="s">
        <v>956</v>
      </c>
      <c r="E89" s="11" t="s">
        <v>267</v>
      </c>
      <c r="F89" s="34" t="s">
        <v>700</v>
      </c>
      <c r="G89" s="6" t="s">
        <v>2</v>
      </c>
      <c r="H89" s="33">
        <v>421302</v>
      </c>
      <c r="I89" s="90">
        <v>111</v>
      </c>
      <c r="J89" s="90" t="str">
        <f t="shared" si="77"/>
        <v>110-130</v>
      </c>
      <c r="K89" s="91">
        <f t="shared" si="78"/>
        <v>10159.810450732197</v>
      </c>
      <c r="L89" s="35">
        <v>14</v>
      </c>
      <c r="M89" s="35" t="str">
        <f t="shared" si="79"/>
        <v>0-20</v>
      </c>
      <c r="N89" s="36">
        <f t="shared" si="80"/>
        <v>3844.3574443810608</v>
      </c>
      <c r="O89" s="51">
        <v>43</v>
      </c>
      <c r="P89" s="51" t="str">
        <f t="shared" si="60"/>
        <v>31-50</v>
      </c>
      <c r="Q89" s="51">
        <f t="shared" si="56"/>
        <v>5073.1976040297868</v>
      </c>
      <c r="R89" s="49">
        <v>32</v>
      </c>
      <c r="S89" s="49" t="str">
        <f t="shared" si="57"/>
        <v>31-50</v>
      </c>
      <c r="T89" s="49">
        <f t="shared" si="58"/>
        <v>5073.1976040297868</v>
      </c>
      <c r="U89" s="50">
        <v>29</v>
      </c>
      <c r="V89" s="50" t="str">
        <f t="shared" si="61"/>
        <v>21-30</v>
      </c>
      <c r="W89" s="50">
        <f t="shared" si="59"/>
        <v>4508.6394748902885</v>
      </c>
      <c r="X89" s="143" t="s">
        <v>1458</v>
      </c>
      <c r="Y89" s="143" t="e">
        <f t="shared" si="62"/>
        <v>#N/A</v>
      </c>
      <c r="Z89" s="143" t="e">
        <f t="shared" si="63"/>
        <v>#N/A</v>
      </c>
      <c r="AA89" s="116"/>
      <c r="AB89" s="114" t="str">
        <f t="shared" si="64"/>
        <v>0-20</v>
      </c>
      <c r="AC89" s="114">
        <f t="shared" si="65"/>
        <v>3844.3574443810608</v>
      </c>
      <c r="AD89" s="129"/>
      <c r="AE89" s="129" t="str">
        <f t="shared" si="75"/>
        <v>0-20</v>
      </c>
      <c r="AF89" s="129">
        <f t="shared" si="76"/>
        <v>3844.3574443810608</v>
      </c>
      <c r="AG89" s="138">
        <v>75</v>
      </c>
      <c r="AH89" s="138" t="str">
        <f t="shared" si="41"/>
        <v>51-80</v>
      </c>
      <c r="AI89" s="138">
        <f t="shared" si="42"/>
        <v>6509</v>
      </c>
      <c r="AJ89" s="36"/>
      <c r="AK89" s="36"/>
      <c r="AL89" s="37"/>
      <c r="AM89" s="37"/>
      <c r="AN89" s="3" t="str">
        <f t="shared" si="66"/>
        <v>0-20</v>
      </c>
      <c r="AO89" s="119">
        <f t="shared" si="67"/>
        <v>3844.3574443810608</v>
      </c>
      <c r="AP89" s="133"/>
      <c r="AQ89" s="133" t="str">
        <f t="shared" si="68"/>
        <v>0-20</v>
      </c>
      <c r="AR89" s="133">
        <f t="shared" si="69"/>
        <v>3844.3574443810608</v>
      </c>
      <c r="AS89" s="131"/>
      <c r="AT89" s="131"/>
      <c r="AU89" s="41"/>
      <c r="AV89" s="41"/>
      <c r="AW89" s="41"/>
    </row>
    <row r="90" spans="1:49" x14ac:dyDescent="0.25">
      <c r="A90" s="32">
        <v>87</v>
      </c>
      <c r="B90" s="13" t="s">
        <v>21</v>
      </c>
      <c r="C90" s="11" t="s">
        <v>270</v>
      </c>
      <c r="D90" s="10">
        <v>0</v>
      </c>
      <c r="E90" s="11" t="s">
        <v>271</v>
      </c>
      <c r="F90" s="34" t="s">
        <v>272</v>
      </c>
      <c r="G90" s="6" t="s">
        <v>273</v>
      </c>
      <c r="H90" s="33">
        <v>421302</v>
      </c>
      <c r="I90" s="90">
        <v>121</v>
      </c>
      <c r="J90" s="90" t="str">
        <f t="shared" si="77"/>
        <v>110-130</v>
      </c>
      <c r="K90" s="91">
        <f t="shared" si="78"/>
        <v>10159.810450732197</v>
      </c>
      <c r="L90" s="35">
        <v>16</v>
      </c>
      <c r="M90" s="35" t="str">
        <f t="shared" si="79"/>
        <v>0-20</v>
      </c>
      <c r="N90" s="36">
        <f t="shared" si="80"/>
        <v>3844.3574443810608</v>
      </c>
      <c r="O90" s="51">
        <v>42.8</v>
      </c>
      <c r="P90" s="51" t="str">
        <f t="shared" si="60"/>
        <v>31-50</v>
      </c>
      <c r="Q90" s="51">
        <f t="shared" si="56"/>
        <v>5073.1976040297868</v>
      </c>
      <c r="R90" s="49">
        <v>49</v>
      </c>
      <c r="S90" s="49" t="str">
        <f t="shared" si="57"/>
        <v>31-50</v>
      </c>
      <c r="T90" s="49">
        <f t="shared" si="58"/>
        <v>5073.1976040297868</v>
      </c>
      <c r="U90" s="50">
        <v>43</v>
      </c>
      <c r="V90" s="50" t="str">
        <f t="shared" si="61"/>
        <v>31-50</v>
      </c>
      <c r="W90" s="50">
        <f t="shared" si="59"/>
        <v>5073.1976040297868</v>
      </c>
      <c r="X90" s="143" t="s">
        <v>1458</v>
      </c>
      <c r="Y90" s="143" t="e">
        <f t="shared" si="62"/>
        <v>#N/A</v>
      </c>
      <c r="Z90" s="143" t="e">
        <f t="shared" si="63"/>
        <v>#N/A</v>
      </c>
      <c r="AA90" s="116"/>
      <c r="AB90" s="114" t="str">
        <f t="shared" si="64"/>
        <v>0-20</v>
      </c>
      <c r="AC90" s="114">
        <f t="shared" si="65"/>
        <v>3844.3574443810608</v>
      </c>
      <c r="AD90" s="129"/>
      <c r="AE90" s="129" t="str">
        <f t="shared" si="75"/>
        <v>0-20</v>
      </c>
      <c r="AF90" s="129">
        <f t="shared" si="76"/>
        <v>3844.3574443810608</v>
      </c>
      <c r="AG90" s="138">
        <v>75</v>
      </c>
      <c r="AH90" s="138" t="str">
        <f t="shared" si="41"/>
        <v>51-80</v>
      </c>
      <c r="AI90" s="138">
        <f t="shared" si="42"/>
        <v>6509</v>
      </c>
      <c r="AJ90" s="36">
        <v>50</v>
      </c>
      <c r="AK90" s="36" t="str">
        <f t="shared" ref="AK90:AK111" si="81">VLOOKUP(AJ90,$AV$3:$AW$9,2,1)</f>
        <v>31-50</v>
      </c>
      <c r="AL90" s="37">
        <f t="shared" ref="AL90:AL111" si="82">VLOOKUP(AK90,$AW$3:$AX$9,2,0)</f>
        <v>5073.1976040297868</v>
      </c>
      <c r="AM90" s="37"/>
      <c r="AN90" s="3" t="str">
        <f t="shared" si="66"/>
        <v>0-20</v>
      </c>
      <c r="AO90" s="119">
        <f t="shared" si="67"/>
        <v>3844.3574443810608</v>
      </c>
      <c r="AP90" s="133"/>
      <c r="AQ90" s="133" t="str">
        <f t="shared" si="68"/>
        <v>0-20</v>
      </c>
      <c r="AR90" s="133">
        <f t="shared" si="69"/>
        <v>3844.3574443810608</v>
      </c>
      <c r="AS90" s="131"/>
      <c r="AT90" s="131"/>
      <c r="AU90" s="41"/>
      <c r="AV90" s="41"/>
      <c r="AW90" s="41"/>
    </row>
    <row r="91" spans="1:49" x14ac:dyDescent="0.25">
      <c r="A91" s="32">
        <v>88</v>
      </c>
      <c r="B91" s="13" t="s">
        <v>21</v>
      </c>
      <c r="C91" s="11" t="s">
        <v>274</v>
      </c>
      <c r="D91" s="10" t="s">
        <v>957</v>
      </c>
      <c r="E91" s="11" t="s">
        <v>275</v>
      </c>
      <c r="F91" s="34" t="s">
        <v>276</v>
      </c>
      <c r="G91" s="6" t="s">
        <v>59</v>
      </c>
      <c r="H91" s="33">
        <v>421502</v>
      </c>
      <c r="I91" s="90">
        <v>110</v>
      </c>
      <c r="J91" s="90" t="str">
        <f t="shared" si="77"/>
        <v>110-130</v>
      </c>
      <c r="K91" s="91">
        <f t="shared" si="78"/>
        <v>10159.810450732197</v>
      </c>
      <c r="L91" s="99">
        <v>31</v>
      </c>
      <c r="M91" s="99" t="str">
        <f t="shared" si="79"/>
        <v>31-50</v>
      </c>
      <c r="N91" s="100">
        <f t="shared" si="80"/>
        <v>5073.1976040297868</v>
      </c>
      <c r="O91" s="51">
        <v>55</v>
      </c>
      <c r="P91" s="51" t="str">
        <f t="shared" si="60"/>
        <v>51-80</v>
      </c>
      <c r="Q91" s="51">
        <f t="shared" si="56"/>
        <v>6509</v>
      </c>
      <c r="R91" s="49">
        <v>55</v>
      </c>
      <c r="S91" s="49" t="str">
        <f t="shared" si="57"/>
        <v>51-80</v>
      </c>
      <c r="T91" s="49">
        <f t="shared" si="58"/>
        <v>6509</v>
      </c>
      <c r="U91" s="50">
        <v>48</v>
      </c>
      <c r="V91" s="50" t="str">
        <f t="shared" si="61"/>
        <v>31-50</v>
      </c>
      <c r="W91" s="50">
        <f t="shared" si="59"/>
        <v>5073.1976040297868</v>
      </c>
      <c r="X91" s="143">
        <v>28</v>
      </c>
      <c r="Y91" s="143" t="str">
        <f t="shared" si="62"/>
        <v>21-30</v>
      </c>
      <c r="Z91" s="143">
        <f t="shared" si="63"/>
        <v>4508.6394748902885</v>
      </c>
      <c r="AA91" s="116"/>
      <c r="AB91" s="114" t="str">
        <f t="shared" si="64"/>
        <v>0-20</v>
      </c>
      <c r="AC91" s="114">
        <f t="shared" si="65"/>
        <v>3844.3574443810608</v>
      </c>
      <c r="AD91" s="129"/>
      <c r="AE91" s="129" t="str">
        <f t="shared" si="75"/>
        <v>0-20</v>
      </c>
      <c r="AF91" s="129">
        <f t="shared" si="76"/>
        <v>3844.3574443810608</v>
      </c>
      <c r="AG91" s="138">
        <v>78</v>
      </c>
      <c r="AH91" s="138" t="str">
        <f t="shared" si="41"/>
        <v>51-80</v>
      </c>
      <c r="AI91" s="138">
        <f t="shared" si="42"/>
        <v>6509</v>
      </c>
      <c r="AJ91" s="36">
        <v>47</v>
      </c>
      <c r="AK91" s="36" t="str">
        <f t="shared" si="81"/>
        <v>31-50</v>
      </c>
      <c r="AL91" s="37">
        <f t="shared" si="82"/>
        <v>5073.1976040297868</v>
      </c>
      <c r="AM91" s="84">
        <v>68</v>
      </c>
      <c r="AN91" s="85" t="str">
        <f t="shared" si="66"/>
        <v>51-80</v>
      </c>
      <c r="AO91" s="122">
        <f t="shared" si="67"/>
        <v>6509</v>
      </c>
      <c r="AP91" s="133"/>
      <c r="AQ91" s="133" t="str">
        <f t="shared" si="68"/>
        <v>0-20</v>
      </c>
      <c r="AR91" s="133">
        <f t="shared" si="69"/>
        <v>3844.3574443810608</v>
      </c>
      <c r="AS91" s="131"/>
      <c r="AT91" s="131"/>
      <c r="AU91" s="41"/>
      <c r="AV91" s="41"/>
      <c r="AW91" s="41"/>
    </row>
    <row r="92" spans="1:49" x14ac:dyDescent="0.25">
      <c r="A92" s="32">
        <v>89</v>
      </c>
      <c r="B92" s="13" t="s">
        <v>21</v>
      </c>
      <c r="C92" s="11" t="s">
        <v>277</v>
      </c>
      <c r="D92" s="10" t="s">
        <v>958</v>
      </c>
      <c r="E92" s="11" t="s">
        <v>278</v>
      </c>
      <c r="F92" s="34" t="s">
        <v>1259</v>
      </c>
      <c r="G92" s="6" t="s">
        <v>279</v>
      </c>
      <c r="H92" s="33">
        <v>401303</v>
      </c>
      <c r="I92" s="90">
        <v>158</v>
      </c>
      <c r="J92" s="90" t="str">
        <f t="shared" si="77"/>
        <v>110-130</v>
      </c>
      <c r="K92" s="91">
        <f t="shared" si="78"/>
        <v>10159.810450732197</v>
      </c>
      <c r="L92" s="35">
        <v>42</v>
      </c>
      <c r="M92" s="35" t="str">
        <f t="shared" si="79"/>
        <v>31-50</v>
      </c>
      <c r="N92" s="36">
        <f t="shared" si="80"/>
        <v>5073.1976040297868</v>
      </c>
      <c r="O92" s="51">
        <v>13</v>
      </c>
      <c r="P92" s="51" t="str">
        <f t="shared" si="60"/>
        <v>0-20</v>
      </c>
      <c r="Q92" s="51">
        <f t="shared" si="56"/>
        <v>3844.3574443810608</v>
      </c>
      <c r="R92" s="49">
        <v>55</v>
      </c>
      <c r="S92" s="49" t="str">
        <f t="shared" si="57"/>
        <v>51-80</v>
      </c>
      <c r="T92" s="49">
        <f t="shared" si="58"/>
        <v>6509</v>
      </c>
      <c r="U92" s="50">
        <v>52</v>
      </c>
      <c r="V92" s="50" t="str">
        <f t="shared" si="61"/>
        <v>51-80</v>
      </c>
      <c r="W92" s="50">
        <f t="shared" si="59"/>
        <v>6509</v>
      </c>
      <c r="X92" s="143">
        <v>50</v>
      </c>
      <c r="Y92" s="143" t="str">
        <f t="shared" si="62"/>
        <v>31-50</v>
      </c>
      <c r="Z92" s="143">
        <f t="shared" si="63"/>
        <v>5073.1976040297868</v>
      </c>
      <c r="AA92" s="116">
        <v>53</v>
      </c>
      <c r="AB92" s="114" t="str">
        <f t="shared" si="64"/>
        <v>51-80</v>
      </c>
      <c r="AC92" s="114">
        <f t="shared" si="65"/>
        <v>6509</v>
      </c>
      <c r="AD92" s="129">
        <v>53</v>
      </c>
      <c r="AE92" s="129" t="str">
        <f t="shared" si="75"/>
        <v>51-80</v>
      </c>
      <c r="AF92" s="129">
        <f t="shared" si="76"/>
        <v>6509</v>
      </c>
      <c r="AG92" s="138">
        <v>56</v>
      </c>
      <c r="AH92" s="138" t="str">
        <f t="shared" si="41"/>
        <v>51-80</v>
      </c>
      <c r="AI92" s="138">
        <f t="shared" si="42"/>
        <v>6509</v>
      </c>
      <c r="AJ92" s="36">
        <v>65</v>
      </c>
      <c r="AK92" s="36" t="str">
        <f t="shared" si="81"/>
        <v>51-80</v>
      </c>
      <c r="AL92" s="37">
        <f t="shared" si="82"/>
        <v>6509</v>
      </c>
      <c r="AM92" s="37">
        <v>119</v>
      </c>
      <c r="AN92" s="3" t="str">
        <f t="shared" si="66"/>
        <v>110-130</v>
      </c>
      <c r="AO92" s="119">
        <f t="shared" si="67"/>
        <v>10159.810450732197</v>
      </c>
      <c r="AP92" s="133"/>
      <c r="AQ92" s="133" t="str">
        <f t="shared" si="68"/>
        <v>0-20</v>
      </c>
      <c r="AR92" s="133">
        <f t="shared" si="69"/>
        <v>3844.3574443810608</v>
      </c>
      <c r="AS92" s="131"/>
      <c r="AT92" s="131"/>
      <c r="AU92" s="41"/>
      <c r="AV92" s="41"/>
      <c r="AW92" s="41"/>
    </row>
    <row r="93" spans="1:49" x14ac:dyDescent="0.25">
      <c r="A93" s="32">
        <v>90</v>
      </c>
      <c r="B93" s="13" t="s">
        <v>21</v>
      </c>
      <c r="C93" s="11" t="s">
        <v>280</v>
      </c>
      <c r="D93" s="10">
        <v>0</v>
      </c>
      <c r="E93" s="11" t="s">
        <v>281</v>
      </c>
      <c r="F93" s="34" t="s">
        <v>282</v>
      </c>
      <c r="G93" s="6" t="s">
        <v>262</v>
      </c>
      <c r="H93" s="33">
        <v>401104</v>
      </c>
      <c r="I93" s="90">
        <v>127</v>
      </c>
      <c r="J93" s="90" t="str">
        <f t="shared" si="77"/>
        <v>110-130</v>
      </c>
      <c r="K93" s="91">
        <f t="shared" si="78"/>
        <v>10159.810450732197</v>
      </c>
      <c r="L93" s="35">
        <v>23</v>
      </c>
      <c r="M93" s="35" t="str">
        <f t="shared" si="79"/>
        <v>21-30</v>
      </c>
      <c r="N93" s="36">
        <f t="shared" si="80"/>
        <v>4508.6394748902885</v>
      </c>
      <c r="O93" s="51">
        <v>89</v>
      </c>
      <c r="P93" s="51" t="str">
        <f t="shared" si="60"/>
        <v>81-110</v>
      </c>
      <c r="Q93" s="51">
        <f t="shared" si="56"/>
        <v>8747.8561594387575</v>
      </c>
      <c r="R93" s="49">
        <v>23</v>
      </c>
      <c r="S93" s="49" t="str">
        <f t="shared" si="57"/>
        <v>21-30</v>
      </c>
      <c r="T93" s="49">
        <f t="shared" si="58"/>
        <v>4508.6394748902885</v>
      </c>
      <c r="U93" s="50">
        <v>32</v>
      </c>
      <c r="V93" s="50" t="str">
        <f t="shared" si="61"/>
        <v>31-50</v>
      </c>
      <c r="W93" s="50">
        <f t="shared" si="59"/>
        <v>5073.1976040297868</v>
      </c>
      <c r="X93" s="143" t="s">
        <v>1458</v>
      </c>
      <c r="Y93" s="143" t="e">
        <f t="shared" si="62"/>
        <v>#N/A</v>
      </c>
      <c r="Z93" s="143" t="e">
        <f t="shared" si="63"/>
        <v>#N/A</v>
      </c>
      <c r="AA93" s="116"/>
      <c r="AB93" s="114" t="str">
        <f t="shared" si="64"/>
        <v>0-20</v>
      </c>
      <c r="AC93" s="114">
        <f t="shared" si="65"/>
        <v>3844.3574443810608</v>
      </c>
      <c r="AD93" s="129"/>
      <c r="AE93" s="129" t="str">
        <f t="shared" si="75"/>
        <v>0-20</v>
      </c>
      <c r="AF93" s="129">
        <f t="shared" si="76"/>
        <v>3844.3574443810608</v>
      </c>
      <c r="AG93" s="138">
        <v>72</v>
      </c>
      <c r="AH93" s="138" t="str">
        <f t="shared" ref="AH93:AH157" si="83">VLOOKUP(AG93,$AV$4:$AW$9,2,1)</f>
        <v>51-80</v>
      </c>
      <c r="AI93" s="138">
        <f t="shared" ref="AI93:AI157" si="84">VLOOKUP(AH93,$AW$3:$AX$9,2,0)</f>
        <v>6509</v>
      </c>
      <c r="AJ93" s="36">
        <v>39</v>
      </c>
      <c r="AK93" s="36" t="str">
        <f t="shared" si="81"/>
        <v>31-50</v>
      </c>
      <c r="AL93" s="37">
        <f t="shared" si="82"/>
        <v>5073.1976040297868</v>
      </c>
      <c r="AM93" s="37"/>
      <c r="AN93" s="3" t="str">
        <f t="shared" si="66"/>
        <v>0-20</v>
      </c>
      <c r="AO93" s="119">
        <f t="shared" si="67"/>
        <v>3844.3574443810608</v>
      </c>
      <c r="AP93" s="133"/>
      <c r="AQ93" s="133" t="str">
        <f t="shared" si="68"/>
        <v>0-20</v>
      </c>
      <c r="AR93" s="133">
        <f t="shared" si="69"/>
        <v>3844.3574443810608</v>
      </c>
      <c r="AS93" s="131"/>
      <c r="AT93" s="131"/>
      <c r="AU93" s="41"/>
      <c r="AV93" s="41"/>
      <c r="AW93" s="41"/>
    </row>
    <row r="94" spans="1:49" x14ac:dyDescent="0.25">
      <c r="A94" s="32">
        <v>91</v>
      </c>
      <c r="B94" s="13" t="s">
        <v>21</v>
      </c>
      <c r="C94" s="11" t="s">
        <v>286</v>
      </c>
      <c r="D94" s="10" t="s">
        <v>959</v>
      </c>
      <c r="E94" s="11" t="s">
        <v>287</v>
      </c>
      <c r="F94" s="34" t="s">
        <v>288</v>
      </c>
      <c r="G94" s="6" t="s">
        <v>289</v>
      </c>
      <c r="H94" s="33">
        <v>400612</v>
      </c>
      <c r="I94" s="90">
        <v>105</v>
      </c>
      <c r="J94" s="90" t="str">
        <f t="shared" si="77"/>
        <v>81-110</v>
      </c>
      <c r="K94" s="91">
        <f t="shared" si="78"/>
        <v>8747.8561594387575</v>
      </c>
      <c r="L94" s="35">
        <v>10</v>
      </c>
      <c r="M94" s="35" t="str">
        <f t="shared" si="79"/>
        <v>0-20</v>
      </c>
      <c r="N94" s="36">
        <f t="shared" si="80"/>
        <v>3844.3574443810608</v>
      </c>
      <c r="O94" s="51">
        <v>45.4</v>
      </c>
      <c r="P94" s="51" t="str">
        <f t="shared" si="60"/>
        <v>31-50</v>
      </c>
      <c r="Q94" s="51">
        <f t="shared" si="56"/>
        <v>5073.1976040297868</v>
      </c>
      <c r="R94" s="49">
        <v>33</v>
      </c>
      <c r="S94" s="49" t="str">
        <f t="shared" si="57"/>
        <v>31-50</v>
      </c>
      <c r="T94" s="49">
        <f t="shared" si="58"/>
        <v>5073.1976040297868</v>
      </c>
      <c r="U94" s="50">
        <v>27</v>
      </c>
      <c r="V94" s="50" t="str">
        <f t="shared" si="61"/>
        <v>21-30</v>
      </c>
      <c r="W94" s="50">
        <f t="shared" si="59"/>
        <v>4508.6394748902885</v>
      </c>
      <c r="X94" s="143" t="s">
        <v>1458</v>
      </c>
      <c r="Y94" s="143" t="e">
        <f t="shared" si="62"/>
        <v>#N/A</v>
      </c>
      <c r="Z94" s="143" t="e">
        <f t="shared" si="63"/>
        <v>#N/A</v>
      </c>
      <c r="AA94" s="116"/>
      <c r="AB94" s="114" t="str">
        <f t="shared" si="64"/>
        <v>0-20</v>
      </c>
      <c r="AC94" s="114">
        <f t="shared" si="65"/>
        <v>3844.3574443810608</v>
      </c>
      <c r="AD94" s="129"/>
      <c r="AE94" s="129" t="str">
        <f t="shared" si="75"/>
        <v>0-20</v>
      </c>
      <c r="AF94" s="129">
        <f t="shared" si="76"/>
        <v>3844.3574443810608</v>
      </c>
      <c r="AG94" s="138">
        <v>92</v>
      </c>
      <c r="AH94" s="138" t="str">
        <f t="shared" si="83"/>
        <v>81-110</v>
      </c>
      <c r="AI94" s="138">
        <f t="shared" si="84"/>
        <v>8747.8561594387575</v>
      </c>
      <c r="AJ94" s="36">
        <v>34</v>
      </c>
      <c r="AK94" s="36" t="str">
        <f t="shared" si="81"/>
        <v>31-50</v>
      </c>
      <c r="AL94" s="37">
        <f t="shared" si="82"/>
        <v>5073.1976040297868</v>
      </c>
      <c r="AM94" s="37"/>
      <c r="AN94" s="3" t="str">
        <f t="shared" si="66"/>
        <v>0-20</v>
      </c>
      <c r="AO94" s="119">
        <f t="shared" si="67"/>
        <v>3844.3574443810608</v>
      </c>
      <c r="AP94" s="133"/>
      <c r="AQ94" s="133" t="str">
        <f t="shared" si="68"/>
        <v>0-20</v>
      </c>
      <c r="AR94" s="133">
        <f t="shared" si="69"/>
        <v>3844.3574443810608</v>
      </c>
      <c r="AS94" s="131"/>
      <c r="AT94" s="131"/>
      <c r="AU94" s="41"/>
      <c r="AV94" s="41"/>
      <c r="AW94" s="41"/>
    </row>
    <row r="95" spans="1:49" x14ac:dyDescent="0.25">
      <c r="A95" s="32">
        <v>92</v>
      </c>
      <c r="B95" s="13" t="s">
        <v>21</v>
      </c>
      <c r="C95" s="11" t="s">
        <v>290</v>
      </c>
      <c r="D95" s="10" t="s">
        <v>960</v>
      </c>
      <c r="E95" s="11" t="s">
        <v>291</v>
      </c>
      <c r="F95" s="34" t="s">
        <v>292</v>
      </c>
      <c r="G95" s="6" t="s">
        <v>293</v>
      </c>
      <c r="H95" s="33">
        <v>400703</v>
      </c>
      <c r="I95" s="90">
        <v>94</v>
      </c>
      <c r="J95" s="90" t="str">
        <f t="shared" si="77"/>
        <v>81-110</v>
      </c>
      <c r="K95" s="91">
        <f t="shared" si="78"/>
        <v>8747.8561594387575</v>
      </c>
      <c r="L95" s="35">
        <v>20</v>
      </c>
      <c r="M95" s="35" t="str">
        <f t="shared" si="79"/>
        <v>0-20</v>
      </c>
      <c r="N95" s="36">
        <f t="shared" si="80"/>
        <v>3844.3574443810608</v>
      </c>
      <c r="O95" s="51">
        <v>57</v>
      </c>
      <c r="P95" s="51" t="str">
        <f t="shared" si="60"/>
        <v>51-80</v>
      </c>
      <c r="Q95" s="51">
        <f t="shared" si="56"/>
        <v>6509</v>
      </c>
      <c r="R95" s="49">
        <v>27</v>
      </c>
      <c r="S95" s="49" t="str">
        <f t="shared" si="57"/>
        <v>21-30</v>
      </c>
      <c r="T95" s="49">
        <f t="shared" si="58"/>
        <v>4508.6394748902885</v>
      </c>
      <c r="U95" s="50">
        <v>20</v>
      </c>
      <c r="V95" s="50" t="str">
        <f t="shared" si="61"/>
        <v>0-20</v>
      </c>
      <c r="W95" s="50">
        <f t="shared" si="59"/>
        <v>3844.3574443810608</v>
      </c>
      <c r="X95" s="143">
        <v>42</v>
      </c>
      <c r="Y95" s="143" t="str">
        <f t="shared" si="62"/>
        <v>31-50</v>
      </c>
      <c r="Z95" s="143">
        <f t="shared" si="63"/>
        <v>5073.1976040297868</v>
      </c>
      <c r="AA95" s="116"/>
      <c r="AB95" s="114" t="str">
        <f t="shared" si="64"/>
        <v>0-20</v>
      </c>
      <c r="AC95" s="114">
        <f t="shared" si="65"/>
        <v>3844.3574443810608</v>
      </c>
      <c r="AD95" s="129"/>
      <c r="AE95" s="129" t="str">
        <f t="shared" si="75"/>
        <v>0-20</v>
      </c>
      <c r="AF95" s="129">
        <f t="shared" si="76"/>
        <v>3844.3574443810608</v>
      </c>
      <c r="AG95" s="138">
        <v>103</v>
      </c>
      <c r="AH95" s="138" t="str">
        <f t="shared" si="83"/>
        <v>81-110</v>
      </c>
      <c r="AI95" s="138">
        <f t="shared" si="84"/>
        <v>8747.8561594387575</v>
      </c>
      <c r="AJ95" s="36">
        <v>71</v>
      </c>
      <c r="AK95" s="36" t="str">
        <f t="shared" si="81"/>
        <v>51-80</v>
      </c>
      <c r="AL95" s="37">
        <f t="shared" si="82"/>
        <v>6509</v>
      </c>
      <c r="AM95" s="37">
        <v>51</v>
      </c>
      <c r="AN95" s="3" t="str">
        <f t="shared" si="66"/>
        <v>51-80</v>
      </c>
      <c r="AO95" s="119">
        <f t="shared" si="67"/>
        <v>6509</v>
      </c>
      <c r="AP95" s="133"/>
      <c r="AQ95" s="133" t="str">
        <f t="shared" si="68"/>
        <v>0-20</v>
      </c>
      <c r="AR95" s="133">
        <f t="shared" si="69"/>
        <v>3844.3574443810608</v>
      </c>
      <c r="AS95" s="131"/>
      <c r="AT95" s="131"/>
      <c r="AU95" s="41"/>
      <c r="AV95" s="41"/>
      <c r="AW95" s="41"/>
    </row>
    <row r="96" spans="1:49" x14ac:dyDescent="0.25">
      <c r="A96" s="32">
        <v>93</v>
      </c>
      <c r="B96" s="13" t="s">
        <v>21</v>
      </c>
      <c r="C96" s="11" t="s">
        <v>457</v>
      </c>
      <c r="D96" s="10" t="s">
        <v>961</v>
      </c>
      <c r="E96" s="11" t="s">
        <v>458</v>
      </c>
      <c r="F96" s="34" t="s">
        <v>466</v>
      </c>
      <c r="G96" s="6" t="s">
        <v>226</v>
      </c>
      <c r="H96" s="33">
        <v>401209</v>
      </c>
      <c r="I96" s="90">
        <v>151</v>
      </c>
      <c r="J96" s="90" t="str">
        <f t="shared" si="77"/>
        <v>110-130</v>
      </c>
      <c r="K96" s="91">
        <f t="shared" si="78"/>
        <v>10159.810450732197</v>
      </c>
      <c r="L96" s="35">
        <v>40</v>
      </c>
      <c r="M96" s="35" t="str">
        <f t="shared" si="79"/>
        <v>31-50</v>
      </c>
      <c r="N96" s="36">
        <f t="shared" si="80"/>
        <v>5073.1976040297868</v>
      </c>
      <c r="O96" s="51">
        <v>8.1</v>
      </c>
      <c r="P96" s="51" t="str">
        <f t="shared" si="60"/>
        <v>0-20</v>
      </c>
      <c r="Q96" s="51">
        <f t="shared" si="56"/>
        <v>3844.3574443810608</v>
      </c>
      <c r="R96" s="49">
        <v>48</v>
      </c>
      <c r="S96" s="49" t="str">
        <f t="shared" si="57"/>
        <v>31-50</v>
      </c>
      <c r="T96" s="49">
        <f t="shared" si="58"/>
        <v>5073.1976040297868</v>
      </c>
      <c r="U96" s="50">
        <v>62</v>
      </c>
      <c r="V96" s="50" t="str">
        <f t="shared" si="61"/>
        <v>51-80</v>
      </c>
      <c r="W96" s="50">
        <f t="shared" si="59"/>
        <v>6509</v>
      </c>
      <c r="X96" s="143" t="s">
        <v>1458</v>
      </c>
      <c r="Y96" s="143" t="e">
        <f t="shared" si="62"/>
        <v>#N/A</v>
      </c>
      <c r="Z96" s="143" t="e">
        <f t="shared" si="63"/>
        <v>#N/A</v>
      </c>
      <c r="AA96" s="116"/>
      <c r="AB96" s="114" t="str">
        <f t="shared" si="64"/>
        <v>0-20</v>
      </c>
      <c r="AC96" s="114">
        <f t="shared" si="65"/>
        <v>3844.3574443810608</v>
      </c>
      <c r="AD96" s="129"/>
      <c r="AE96" s="129" t="str">
        <f t="shared" si="75"/>
        <v>0-20</v>
      </c>
      <c r="AF96" s="129">
        <f t="shared" si="76"/>
        <v>3844.3574443810608</v>
      </c>
      <c r="AG96" s="139">
        <v>54</v>
      </c>
      <c r="AH96" s="138" t="str">
        <f t="shared" si="83"/>
        <v>51-80</v>
      </c>
      <c r="AI96" s="138">
        <f t="shared" si="84"/>
        <v>6509</v>
      </c>
      <c r="AJ96" s="36">
        <v>67</v>
      </c>
      <c r="AK96" s="36" t="str">
        <f t="shared" si="81"/>
        <v>51-80</v>
      </c>
      <c r="AL96" s="37">
        <f t="shared" si="82"/>
        <v>6509</v>
      </c>
      <c r="AM96" s="37">
        <v>109</v>
      </c>
      <c r="AN96" s="3" t="str">
        <f t="shared" si="66"/>
        <v>81-110</v>
      </c>
      <c r="AO96" s="119">
        <f t="shared" si="67"/>
        <v>8747.8561594387575</v>
      </c>
      <c r="AP96" s="133"/>
      <c r="AQ96" s="133" t="str">
        <f t="shared" si="68"/>
        <v>0-20</v>
      </c>
      <c r="AR96" s="133">
        <f t="shared" si="69"/>
        <v>3844.3574443810608</v>
      </c>
      <c r="AS96" s="131"/>
      <c r="AT96" s="131"/>
      <c r="AU96" s="41"/>
      <c r="AV96" s="41"/>
      <c r="AW96" s="41"/>
    </row>
    <row r="97" spans="1:49" x14ac:dyDescent="0.25">
      <c r="A97" s="32">
        <v>94</v>
      </c>
      <c r="B97" s="13" t="s">
        <v>21</v>
      </c>
      <c r="C97" s="11" t="s">
        <v>283</v>
      </c>
      <c r="D97" s="10" t="s">
        <v>962</v>
      </c>
      <c r="E97" s="11" t="s">
        <v>284</v>
      </c>
      <c r="F97" s="34" t="s">
        <v>285</v>
      </c>
      <c r="G97" s="6" t="s">
        <v>135</v>
      </c>
      <c r="H97" s="33">
        <v>410202</v>
      </c>
      <c r="I97" s="90">
        <v>47</v>
      </c>
      <c r="J97" s="90" t="str">
        <f t="shared" si="77"/>
        <v>31-50</v>
      </c>
      <c r="K97" s="91">
        <f t="shared" si="78"/>
        <v>5073.1976040297868</v>
      </c>
      <c r="L97" s="35">
        <v>64</v>
      </c>
      <c r="M97" s="35" t="str">
        <f t="shared" si="79"/>
        <v>51-80</v>
      </c>
      <c r="N97" s="36">
        <f t="shared" si="80"/>
        <v>6509</v>
      </c>
      <c r="O97" s="51">
        <v>89</v>
      </c>
      <c r="P97" s="51" t="str">
        <f t="shared" si="60"/>
        <v>81-110</v>
      </c>
      <c r="Q97" s="51">
        <f t="shared" si="56"/>
        <v>8747.8561594387575</v>
      </c>
      <c r="R97" s="49">
        <v>70</v>
      </c>
      <c r="S97" s="49" t="str">
        <f t="shared" si="57"/>
        <v>51-80</v>
      </c>
      <c r="T97" s="49">
        <f t="shared" si="58"/>
        <v>6509</v>
      </c>
      <c r="U97" s="50">
        <v>62</v>
      </c>
      <c r="V97" s="50" t="str">
        <f t="shared" si="61"/>
        <v>51-80</v>
      </c>
      <c r="W97" s="50">
        <f t="shared" si="59"/>
        <v>6509</v>
      </c>
      <c r="X97" s="143" t="s">
        <v>1458</v>
      </c>
      <c r="Y97" s="143" t="e">
        <f t="shared" si="62"/>
        <v>#N/A</v>
      </c>
      <c r="Z97" s="143" t="e">
        <f t="shared" si="63"/>
        <v>#N/A</v>
      </c>
      <c r="AA97" s="116"/>
      <c r="AB97" s="114" t="str">
        <f t="shared" si="64"/>
        <v>0-20</v>
      </c>
      <c r="AC97" s="114">
        <f t="shared" si="65"/>
        <v>3844.3574443810608</v>
      </c>
      <c r="AD97" s="129"/>
      <c r="AE97" s="129" t="str">
        <f t="shared" si="75"/>
        <v>0-20</v>
      </c>
      <c r="AF97" s="129">
        <f t="shared" si="76"/>
        <v>3844.3574443810608</v>
      </c>
      <c r="AG97" s="138">
        <v>147</v>
      </c>
      <c r="AH97" s="138" t="str">
        <f t="shared" si="83"/>
        <v>110-130</v>
      </c>
      <c r="AI97" s="138">
        <f t="shared" si="84"/>
        <v>10159.810450732197</v>
      </c>
      <c r="AJ97" s="36">
        <v>61</v>
      </c>
      <c r="AK97" s="36" t="str">
        <f t="shared" si="81"/>
        <v>51-80</v>
      </c>
      <c r="AL97" s="37">
        <f t="shared" si="82"/>
        <v>6509</v>
      </c>
      <c r="AM97" s="37">
        <v>49</v>
      </c>
      <c r="AN97" s="3" t="str">
        <f t="shared" si="66"/>
        <v>31-50</v>
      </c>
      <c r="AO97" s="119">
        <f t="shared" si="67"/>
        <v>5073.1976040297868</v>
      </c>
      <c r="AP97" s="133"/>
      <c r="AQ97" s="133" t="str">
        <f t="shared" si="68"/>
        <v>0-20</v>
      </c>
      <c r="AR97" s="133">
        <f t="shared" si="69"/>
        <v>3844.3574443810608</v>
      </c>
      <c r="AS97" s="131"/>
      <c r="AT97" s="131"/>
      <c r="AU97" s="41"/>
      <c r="AV97" s="41"/>
      <c r="AW97" s="41"/>
    </row>
    <row r="98" spans="1:49" x14ac:dyDescent="0.25">
      <c r="A98" s="32">
        <v>95</v>
      </c>
      <c r="B98" s="13" t="s">
        <v>21</v>
      </c>
      <c r="C98" s="11" t="s">
        <v>294</v>
      </c>
      <c r="D98" s="10" t="s">
        <v>963</v>
      </c>
      <c r="E98" s="11" t="s">
        <v>295</v>
      </c>
      <c r="F98" s="34" t="s">
        <v>296</v>
      </c>
      <c r="G98" s="6" t="s">
        <v>246</v>
      </c>
      <c r="H98" s="33">
        <v>400601</v>
      </c>
      <c r="I98" s="90">
        <v>108</v>
      </c>
      <c r="J98" s="90" t="str">
        <f t="shared" si="77"/>
        <v>81-110</v>
      </c>
      <c r="K98" s="91">
        <f t="shared" si="78"/>
        <v>8747.8561594387575</v>
      </c>
      <c r="L98" s="99">
        <v>5</v>
      </c>
      <c r="M98" s="99" t="str">
        <f t="shared" si="79"/>
        <v>0-20</v>
      </c>
      <c r="N98" s="100">
        <f t="shared" si="80"/>
        <v>3844.3574443810608</v>
      </c>
      <c r="O98" s="51">
        <v>35.799999999999997</v>
      </c>
      <c r="P98" s="51" t="str">
        <f t="shared" si="60"/>
        <v>31-50</v>
      </c>
      <c r="Q98" s="51">
        <f t="shared" si="56"/>
        <v>5073.1976040297868</v>
      </c>
      <c r="R98" s="49">
        <v>24</v>
      </c>
      <c r="S98" s="49" t="str">
        <f t="shared" si="57"/>
        <v>21-30</v>
      </c>
      <c r="T98" s="49">
        <f t="shared" si="58"/>
        <v>4508.6394748902885</v>
      </c>
      <c r="U98" s="50">
        <v>21</v>
      </c>
      <c r="V98" s="50" t="str">
        <f t="shared" si="61"/>
        <v>21-30</v>
      </c>
      <c r="W98" s="50">
        <f t="shared" si="59"/>
        <v>4508.6394748902885</v>
      </c>
      <c r="X98" s="143" t="s">
        <v>1458</v>
      </c>
      <c r="Y98" s="143" t="e">
        <f t="shared" si="62"/>
        <v>#N/A</v>
      </c>
      <c r="Z98" s="143" t="e">
        <f t="shared" si="63"/>
        <v>#N/A</v>
      </c>
      <c r="AA98" s="116"/>
      <c r="AB98" s="114" t="str">
        <f t="shared" si="64"/>
        <v>0-20</v>
      </c>
      <c r="AC98" s="114">
        <f t="shared" si="65"/>
        <v>3844.3574443810608</v>
      </c>
      <c r="AD98" s="129"/>
      <c r="AE98" s="129" t="str">
        <f t="shared" si="75"/>
        <v>0-20</v>
      </c>
      <c r="AF98" s="129">
        <f t="shared" si="76"/>
        <v>3844.3574443810608</v>
      </c>
      <c r="AG98" s="138">
        <v>85</v>
      </c>
      <c r="AH98" s="138" t="str">
        <f t="shared" si="83"/>
        <v>81-110</v>
      </c>
      <c r="AI98" s="138">
        <f t="shared" si="84"/>
        <v>8747.8561594387575</v>
      </c>
      <c r="AJ98" s="36">
        <v>29</v>
      </c>
      <c r="AK98" s="36" t="str">
        <f t="shared" si="81"/>
        <v>21-30</v>
      </c>
      <c r="AL98" s="37">
        <f t="shared" si="82"/>
        <v>4508.6394748902885</v>
      </c>
      <c r="AM98" s="37"/>
      <c r="AN98" s="3" t="str">
        <f t="shared" si="66"/>
        <v>0-20</v>
      </c>
      <c r="AO98" s="119">
        <f t="shared" si="67"/>
        <v>3844.3574443810608</v>
      </c>
      <c r="AP98" s="133"/>
      <c r="AQ98" s="133" t="str">
        <f t="shared" si="68"/>
        <v>0-20</v>
      </c>
      <c r="AR98" s="133">
        <f t="shared" si="69"/>
        <v>3844.3574443810608</v>
      </c>
      <c r="AS98" s="131"/>
      <c r="AT98" s="131"/>
      <c r="AU98" s="41"/>
      <c r="AV98" s="41"/>
      <c r="AW98" s="41"/>
    </row>
    <row r="99" spans="1:49" x14ac:dyDescent="0.25">
      <c r="A99" s="32">
        <v>96</v>
      </c>
      <c r="B99" s="13" t="s">
        <v>21</v>
      </c>
      <c r="C99" s="11" t="s">
        <v>531</v>
      </c>
      <c r="D99" s="10" t="s">
        <v>964</v>
      </c>
      <c r="E99" s="11" t="s">
        <v>295</v>
      </c>
      <c r="F99" s="34" t="s">
        <v>532</v>
      </c>
      <c r="G99" s="6" t="s">
        <v>533</v>
      </c>
      <c r="H99" s="33">
        <v>410202</v>
      </c>
      <c r="I99" s="90">
        <v>51</v>
      </c>
      <c r="J99" s="90" t="str">
        <f t="shared" si="77"/>
        <v>51-80</v>
      </c>
      <c r="K99" s="91">
        <f t="shared" si="78"/>
        <v>6509</v>
      </c>
      <c r="L99" s="35">
        <v>72</v>
      </c>
      <c r="M99" s="35" t="str">
        <f t="shared" si="79"/>
        <v>51-80</v>
      </c>
      <c r="N99" s="36">
        <f t="shared" si="80"/>
        <v>6509</v>
      </c>
      <c r="O99" s="51">
        <v>108</v>
      </c>
      <c r="P99" s="51" t="str">
        <f t="shared" si="60"/>
        <v>81-110</v>
      </c>
      <c r="Q99" s="51">
        <f t="shared" si="56"/>
        <v>8747.8561594387575</v>
      </c>
      <c r="R99" s="49">
        <v>76</v>
      </c>
      <c r="S99" s="49" t="str">
        <f t="shared" si="57"/>
        <v>51-80</v>
      </c>
      <c r="T99" s="49">
        <f t="shared" si="58"/>
        <v>6509</v>
      </c>
      <c r="U99" s="50">
        <v>69</v>
      </c>
      <c r="V99" s="50" t="str">
        <f t="shared" si="61"/>
        <v>51-80</v>
      </c>
      <c r="W99" s="50">
        <f t="shared" si="59"/>
        <v>6509</v>
      </c>
      <c r="X99" s="143" t="s">
        <v>1458</v>
      </c>
      <c r="Y99" s="143" t="e">
        <f t="shared" si="62"/>
        <v>#N/A</v>
      </c>
      <c r="Z99" s="143" t="e">
        <f t="shared" si="63"/>
        <v>#N/A</v>
      </c>
      <c r="AA99" s="116"/>
      <c r="AB99" s="114" t="str">
        <f t="shared" si="64"/>
        <v>0-20</v>
      </c>
      <c r="AC99" s="114">
        <f t="shared" si="65"/>
        <v>3844.3574443810608</v>
      </c>
      <c r="AD99" s="129"/>
      <c r="AE99" s="129" t="str">
        <f t="shared" si="75"/>
        <v>0-20</v>
      </c>
      <c r="AF99" s="129">
        <f t="shared" si="76"/>
        <v>3844.3574443810608</v>
      </c>
      <c r="AG99" s="138"/>
      <c r="AH99" s="138" t="str">
        <f t="shared" si="83"/>
        <v>0-20</v>
      </c>
      <c r="AI99" s="138">
        <f t="shared" si="84"/>
        <v>3844.3574443810608</v>
      </c>
      <c r="AJ99" s="36">
        <v>69</v>
      </c>
      <c r="AK99" s="36" t="str">
        <f t="shared" si="81"/>
        <v>51-80</v>
      </c>
      <c r="AL99" s="37">
        <f t="shared" si="82"/>
        <v>6509</v>
      </c>
      <c r="AM99" s="37">
        <v>4</v>
      </c>
      <c r="AN99" s="3" t="str">
        <f t="shared" si="66"/>
        <v>0-20</v>
      </c>
      <c r="AO99" s="119">
        <f t="shared" si="67"/>
        <v>3844.3574443810608</v>
      </c>
      <c r="AP99" s="133"/>
      <c r="AQ99" s="133" t="str">
        <f t="shared" si="68"/>
        <v>0-20</v>
      </c>
      <c r="AR99" s="133">
        <f t="shared" si="69"/>
        <v>3844.3574443810608</v>
      </c>
      <c r="AS99" s="131"/>
      <c r="AT99" s="131"/>
      <c r="AU99" s="41"/>
      <c r="AV99" s="41"/>
      <c r="AW99" s="41"/>
    </row>
    <row r="100" spans="1:49" x14ac:dyDescent="0.25">
      <c r="A100" s="32">
        <v>97</v>
      </c>
      <c r="B100" s="13" t="s">
        <v>21</v>
      </c>
      <c r="C100" s="11" t="s">
        <v>301</v>
      </c>
      <c r="D100" s="10">
        <v>0</v>
      </c>
      <c r="E100" s="11" t="s">
        <v>302</v>
      </c>
      <c r="F100" s="34" t="s">
        <v>303</v>
      </c>
      <c r="G100" s="6" t="s">
        <v>233</v>
      </c>
      <c r="H100" s="33">
        <v>410201</v>
      </c>
      <c r="I100" s="90">
        <v>67</v>
      </c>
      <c r="J100" s="90" t="str">
        <f t="shared" si="77"/>
        <v>51-80</v>
      </c>
      <c r="K100" s="91">
        <f t="shared" si="78"/>
        <v>6509</v>
      </c>
      <c r="L100" s="35">
        <v>73</v>
      </c>
      <c r="M100" s="35" t="str">
        <f t="shared" si="79"/>
        <v>51-80</v>
      </c>
      <c r="N100" s="36">
        <f t="shared" si="80"/>
        <v>6509</v>
      </c>
      <c r="O100" s="51">
        <v>98</v>
      </c>
      <c r="P100" s="51" t="str">
        <f t="shared" si="60"/>
        <v>81-110</v>
      </c>
      <c r="Q100" s="51">
        <f t="shared" si="56"/>
        <v>8747.8561594387575</v>
      </c>
      <c r="R100" s="49">
        <v>84</v>
      </c>
      <c r="S100" s="49" t="str">
        <f t="shared" si="57"/>
        <v>81-110</v>
      </c>
      <c r="T100" s="49">
        <f t="shared" si="58"/>
        <v>8747.8561594387575</v>
      </c>
      <c r="U100" s="50">
        <v>75</v>
      </c>
      <c r="V100" s="50" t="str">
        <f t="shared" si="61"/>
        <v>51-80</v>
      </c>
      <c r="W100" s="50">
        <f t="shared" si="59"/>
        <v>6509</v>
      </c>
      <c r="X100" s="143" t="s">
        <v>1458</v>
      </c>
      <c r="Y100" s="143" t="e">
        <f t="shared" si="62"/>
        <v>#N/A</v>
      </c>
      <c r="Z100" s="143" t="e">
        <f t="shared" si="63"/>
        <v>#N/A</v>
      </c>
      <c r="AA100" s="116"/>
      <c r="AB100" s="114" t="str">
        <f t="shared" si="64"/>
        <v>0-20</v>
      </c>
      <c r="AC100" s="114">
        <f t="shared" si="65"/>
        <v>3844.3574443810608</v>
      </c>
      <c r="AD100" s="129"/>
      <c r="AE100" s="129" t="str">
        <f t="shared" si="75"/>
        <v>0-20</v>
      </c>
      <c r="AF100" s="129">
        <f t="shared" si="76"/>
        <v>3844.3574443810608</v>
      </c>
      <c r="AG100" s="138"/>
      <c r="AH100" s="138" t="str">
        <f t="shared" si="83"/>
        <v>0-20</v>
      </c>
      <c r="AI100" s="138">
        <f t="shared" si="84"/>
        <v>3844.3574443810608</v>
      </c>
      <c r="AJ100" s="36">
        <v>73</v>
      </c>
      <c r="AK100" s="36" t="str">
        <f t="shared" si="81"/>
        <v>51-80</v>
      </c>
      <c r="AL100" s="37">
        <f t="shared" si="82"/>
        <v>6509</v>
      </c>
      <c r="AM100" s="82">
        <v>34</v>
      </c>
      <c r="AN100" s="83" t="str">
        <f t="shared" ref="AN100:AN113" si="85">VLOOKUP(AM100,$AV$4:$AW$9,2,1)</f>
        <v>31-50</v>
      </c>
      <c r="AO100" s="121">
        <f t="shared" ref="AO100:AO113" si="86">VLOOKUP(AN100,$AW$3:$AX$9,2,0)</f>
        <v>5073.1976040297868</v>
      </c>
      <c r="AP100" s="133"/>
      <c r="AQ100" s="133" t="str">
        <f t="shared" si="68"/>
        <v>0-20</v>
      </c>
      <c r="AR100" s="133">
        <f t="shared" si="69"/>
        <v>3844.3574443810608</v>
      </c>
      <c r="AS100" s="131"/>
      <c r="AT100" s="131"/>
      <c r="AU100" s="41"/>
      <c r="AV100" s="41"/>
      <c r="AW100" s="41"/>
    </row>
    <row r="101" spans="1:49" x14ac:dyDescent="0.25">
      <c r="A101" s="32">
        <v>98</v>
      </c>
      <c r="B101" s="13" t="s">
        <v>21</v>
      </c>
      <c r="C101" s="11" t="s">
        <v>297</v>
      </c>
      <c r="D101" s="10" t="s">
        <v>965</v>
      </c>
      <c r="E101" s="11" t="s">
        <v>298</v>
      </c>
      <c r="F101" s="34" t="s">
        <v>299</v>
      </c>
      <c r="G101" s="6" t="s">
        <v>300</v>
      </c>
      <c r="H101" s="33">
        <v>402202</v>
      </c>
      <c r="I101" s="90">
        <v>124</v>
      </c>
      <c r="J101" s="90" t="str">
        <f t="shared" si="77"/>
        <v>110-130</v>
      </c>
      <c r="K101" s="91">
        <f t="shared" si="78"/>
        <v>10159.810450732197</v>
      </c>
      <c r="L101" s="35">
        <v>121</v>
      </c>
      <c r="M101" s="35" t="str">
        <f t="shared" si="79"/>
        <v>110-130</v>
      </c>
      <c r="N101" s="36">
        <f t="shared" si="80"/>
        <v>10159.810450732197</v>
      </c>
      <c r="O101" s="51">
        <v>147</v>
      </c>
      <c r="P101" s="51" t="str">
        <f t="shared" si="60"/>
        <v>110-130</v>
      </c>
      <c r="Q101" s="51">
        <f t="shared" si="56"/>
        <v>10159.810450732197</v>
      </c>
      <c r="R101" s="49">
        <v>128</v>
      </c>
      <c r="S101" s="49" t="str">
        <f t="shared" si="57"/>
        <v>110-130</v>
      </c>
      <c r="T101" s="49">
        <f t="shared" si="58"/>
        <v>10159.810450732197</v>
      </c>
      <c r="U101" s="50">
        <v>120</v>
      </c>
      <c r="V101" s="50" t="str">
        <f t="shared" si="61"/>
        <v>110-130</v>
      </c>
      <c r="W101" s="50">
        <f t="shared" si="59"/>
        <v>10159.810450732197</v>
      </c>
      <c r="X101" s="143" t="s">
        <v>1458</v>
      </c>
      <c r="Y101" s="143" t="e">
        <f t="shared" si="62"/>
        <v>#N/A</v>
      </c>
      <c r="Z101" s="143" t="e">
        <f t="shared" si="63"/>
        <v>#N/A</v>
      </c>
      <c r="AA101" s="116"/>
      <c r="AB101" s="114" t="str">
        <f t="shared" si="64"/>
        <v>0-20</v>
      </c>
      <c r="AC101" s="114">
        <f t="shared" si="65"/>
        <v>3844.3574443810608</v>
      </c>
      <c r="AD101" s="129"/>
      <c r="AE101" s="129" t="str">
        <f t="shared" si="75"/>
        <v>0-20</v>
      </c>
      <c r="AF101" s="129">
        <f t="shared" si="76"/>
        <v>3844.3574443810608</v>
      </c>
      <c r="AG101" s="138"/>
      <c r="AH101" s="138" t="str">
        <f t="shared" si="83"/>
        <v>0-20</v>
      </c>
      <c r="AI101" s="138">
        <f t="shared" si="84"/>
        <v>3844.3574443810608</v>
      </c>
      <c r="AJ101" s="36">
        <v>118</v>
      </c>
      <c r="AK101" s="36" t="str">
        <f t="shared" si="81"/>
        <v>110-130</v>
      </c>
      <c r="AL101" s="37">
        <f t="shared" si="82"/>
        <v>10159.810450732197</v>
      </c>
      <c r="AM101" s="82">
        <v>58</v>
      </c>
      <c r="AN101" s="83" t="str">
        <f t="shared" si="85"/>
        <v>51-80</v>
      </c>
      <c r="AO101" s="121">
        <f t="shared" si="86"/>
        <v>6509</v>
      </c>
      <c r="AP101" s="133"/>
      <c r="AQ101" s="133" t="str">
        <f t="shared" si="68"/>
        <v>0-20</v>
      </c>
      <c r="AR101" s="133">
        <f t="shared" si="69"/>
        <v>3844.3574443810608</v>
      </c>
      <c r="AS101" s="131"/>
      <c r="AT101" s="131"/>
      <c r="AU101" s="41"/>
      <c r="AV101" s="41"/>
      <c r="AW101" s="41"/>
    </row>
    <row r="102" spans="1:49" x14ac:dyDescent="0.25">
      <c r="A102" s="32">
        <v>99</v>
      </c>
      <c r="B102" s="13" t="s">
        <v>21</v>
      </c>
      <c r="C102" s="11" t="s">
        <v>304</v>
      </c>
      <c r="D102" s="10" t="s">
        <v>966</v>
      </c>
      <c r="E102" s="11" t="s">
        <v>305</v>
      </c>
      <c r="F102" s="34" t="s">
        <v>306</v>
      </c>
      <c r="G102" s="6" t="s">
        <v>307</v>
      </c>
      <c r="H102" s="33">
        <v>410218</v>
      </c>
      <c r="I102" s="90">
        <v>77</v>
      </c>
      <c r="J102" s="90" t="str">
        <f t="shared" si="77"/>
        <v>51-80</v>
      </c>
      <c r="K102" s="91">
        <f t="shared" si="78"/>
        <v>6509</v>
      </c>
      <c r="L102" s="99">
        <v>35</v>
      </c>
      <c r="M102" s="99" t="str">
        <f t="shared" si="79"/>
        <v>31-50</v>
      </c>
      <c r="N102" s="100">
        <f t="shared" si="80"/>
        <v>5073.1976040297868</v>
      </c>
      <c r="O102" s="51">
        <v>55</v>
      </c>
      <c r="P102" s="51" t="str">
        <f t="shared" si="60"/>
        <v>51-80</v>
      </c>
      <c r="Q102" s="51">
        <f t="shared" si="56"/>
        <v>6509</v>
      </c>
      <c r="R102" s="49">
        <v>42</v>
      </c>
      <c r="S102" s="49" t="str">
        <f t="shared" si="57"/>
        <v>31-50</v>
      </c>
      <c r="T102" s="49">
        <f t="shared" si="58"/>
        <v>5073.1976040297868</v>
      </c>
      <c r="U102" s="50">
        <v>33</v>
      </c>
      <c r="V102" s="50" t="str">
        <f t="shared" si="61"/>
        <v>31-50</v>
      </c>
      <c r="W102" s="50">
        <f t="shared" si="59"/>
        <v>5073.1976040297868</v>
      </c>
      <c r="X102" s="143" t="s">
        <v>1458</v>
      </c>
      <c r="Y102" s="143" t="e">
        <f t="shared" si="62"/>
        <v>#N/A</v>
      </c>
      <c r="Z102" s="143" t="e">
        <f t="shared" si="63"/>
        <v>#N/A</v>
      </c>
      <c r="AA102" s="116"/>
      <c r="AB102" s="114" t="str">
        <f t="shared" si="64"/>
        <v>0-20</v>
      </c>
      <c r="AC102" s="114">
        <f t="shared" si="65"/>
        <v>3844.3574443810608</v>
      </c>
      <c r="AD102" s="129"/>
      <c r="AE102" s="129" t="str">
        <f t="shared" si="75"/>
        <v>0-20</v>
      </c>
      <c r="AF102" s="129">
        <f t="shared" si="76"/>
        <v>3844.3574443810608</v>
      </c>
      <c r="AG102" s="138">
        <v>112</v>
      </c>
      <c r="AH102" s="138" t="str">
        <f t="shared" si="83"/>
        <v>110-130</v>
      </c>
      <c r="AI102" s="138">
        <f t="shared" si="84"/>
        <v>10159.810450732197</v>
      </c>
      <c r="AJ102" s="36">
        <v>31</v>
      </c>
      <c r="AK102" s="36" t="str">
        <f t="shared" si="81"/>
        <v>31-50</v>
      </c>
      <c r="AL102" s="37">
        <f t="shared" si="82"/>
        <v>5073.1976040297868</v>
      </c>
      <c r="AM102" s="82">
        <v>34</v>
      </c>
      <c r="AN102" s="83" t="str">
        <f t="shared" si="85"/>
        <v>31-50</v>
      </c>
      <c r="AO102" s="121">
        <f t="shared" si="86"/>
        <v>5073.1976040297868</v>
      </c>
      <c r="AP102" s="133"/>
      <c r="AQ102" s="133" t="str">
        <f t="shared" si="68"/>
        <v>0-20</v>
      </c>
      <c r="AR102" s="133">
        <f t="shared" si="69"/>
        <v>3844.3574443810608</v>
      </c>
      <c r="AS102" s="131"/>
      <c r="AT102" s="131"/>
      <c r="AU102" s="41"/>
      <c r="AV102" s="41"/>
      <c r="AW102" s="41"/>
    </row>
    <row r="103" spans="1:49" x14ac:dyDescent="0.25">
      <c r="A103" s="32">
        <v>100</v>
      </c>
      <c r="B103" s="13" t="s">
        <v>21</v>
      </c>
      <c r="C103" s="11" t="s">
        <v>522</v>
      </c>
      <c r="D103" s="10" t="s">
        <v>967</v>
      </c>
      <c r="E103" s="11" t="s">
        <v>523</v>
      </c>
      <c r="F103" s="34" t="s">
        <v>524</v>
      </c>
      <c r="G103" s="6" t="s">
        <v>505</v>
      </c>
      <c r="H103" s="33">
        <v>400080</v>
      </c>
      <c r="I103" s="90">
        <v>108</v>
      </c>
      <c r="J103" s="90" t="str">
        <f>VLOOKUP(I103,'[1]M2 Trip Matrix'!$AB$3:$AC$8,2,1)</f>
        <v>81-110</v>
      </c>
      <c r="K103" s="91">
        <f>VLOOKUP(J103,'[1]M2 Trip Matrix'!$AC$2:$AD$8,2,0)</f>
        <v>8454</v>
      </c>
      <c r="L103" s="35">
        <v>50</v>
      </c>
      <c r="M103" s="35" t="str">
        <f>VLOOKUP(L103,'[1]M2 Trip Matrix'!$AB$3:$AC$8,2,1)</f>
        <v>31-50</v>
      </c>
      <c r="N103" s="36">
        <f>VLOOKUP(M103,'[1]M2 Trip Matrix'!$AC$2:$AD$8,2,0)</f>
        <v>4902</v>
      </c>
      <c r="O103" s="51">
        <v>99</v>
      </c>
      <c r="P103" s="51" t="str">
        <f t="shared" si="60"/>
        <v>81-110</v>
      </c>
      <c r="Q103" s="51">
        <f t="shared" si="56"/>
        <v>8747.8561594387575</v>
      </c>
      <c r="R103" s="49">
        <v>58</v>
      </c>
      <c r="S103" s="49" t="str">
        <f t="shared" si="57"/>
        <v>51-80</v>
      </c>
      <c r="T103" s="49">
        <f t="shared" si="58"/>
        <v>6509</v>
      </c>
      <c r="U103" s="50">
        <v>45</v>
      </c>
      <c r="V103" s="50" t="str">
        <f t="shared" si="61"/>
        <v>31-50</v>
      </c>
      <c r="W103" s="50">
        <f t="shared" si="59"/>
        <v>5073.1976040297868</v>
      </c>
      <c r="X103" s="143" t="s">
        <v>1458</v>
      </c>
      <c r="Y103" s="143" t="e">
        <f t="shared" si="62"/>
        <v>#N/A</v>
      </c>
      <c r="Z103" s="143" t="e">
        <f t="shared" si="63"/>
        <v>#N/A</v>
      </c>
      <c r="AA103" s="116"/>
      <c r="AB103" s="114" t="str">
        <f t="shared" si="64"/>
        <v>0-20</v>
      </c>
      <c r="AC103" s="114">
        <f t="shared" si="65"/>
        <v>3844.3574443810608</v>
      </c>
      <c r="AD103" s="129"/>
      <c r="AE103" s="129" t="str">
        <f t="shared" si="75"/>
        <v>0-20</v>
      </c>
      <c r="AF103" s="129">
        <f t="shared" si="76"/>
        <v>3844.3574443810608</v>
      </c>
      <c r="AG103" s="138">
        <v>154</v>
      </c>
      <c r="AH103" s="138" t="str">
        <f t="shared" si="83"/>
        <v>110-130</v>
      </c>
      <c r="AI103" s="138">
        <f t="shared" si="84"/>
        <v>10159.810450732197</v>
      </c>
      <c r="AJ103" s="36">
        <v>48</v>
      </c>
      <c r="AK103" s="36" t="str">
        <f t="shared" si="81"/>
        <v>31-50</v>
      </c>
      <c r="AL103" s="37">
        <f t="shared" si="82"/>
        <v>5073.1976040297868</v>
      </c>
      <c r="AM103" s="84">
        <v>57</v>
      </c>
      <c r="AN103" s="85" t="str">
        <f t="shared" si="85"/>
        <v>51-80</v>
      </c>
      <c r="AO103" s="122">
        <f t="shared" si="86"/>
        <v>6509</v>
      </c>
      <c r="AP103" s="133"/>
      <c r="AQ103" s="133" t="str">
        <f t="shared" si="68"/>
        <v>0-20</v>
      </c>
      <c r="AR103" s="133">
        <f t="shared" si="69"/>
        <v>3844.3574443810608</v>
      </c>
      <c r="AS103" s="131"/>
      <c r="AT103" s="131"/>
      <c r="AU103" s="41"/>
      <c r="AV103" s="41"/>
      <c r="AW103" s="41"/>
    </row>
    <row r="104" spans="1:49" x14ac:dyDescent="0.25">
      <c r="A104" s="32">
        <v>101</v>
      </c>
      <c r="B104" s="13" t="s">
        <v>21</v>
      </c>
      <c r="C104" s="11" t="s">
        <v>522</v>
      </c>
      <c r="D104" s="10" t="s">
        <v>967</v>
      </c>
      <c r="E104" s="11" t="s">
        <v>523</v>
      </c>
      <c r="F104" s="34" t="s">
        <v>580</v>
      </c>
      <c r="G104" s="87" t="s">
        <v>746</v>
      </c>
      <c r="H104" s="33">
        <v>400701</v>
      </c>
      <c r="I104" s="90">
        <v>108</v>
      </c>
      <c r="J104" s="90" t="str">
        <f>VLOOKUP(I104,'[1]M2 Trip Matrix'!$AB$3:$AC$8,2,1)</f>
        <v>81-110</v>
      </c>
      <c r="K104" s="91">
        <f>VLOOKUP(J104,'[1]M2 Trip Matrix'!$AC$2:$AD$8,2,0)</f>
        <v>8454</v>
      </c>
      <c r="L104" s="35">
        <v>50</v>
      </c>
      <c r="M104" s="35" t="str">
        <f>VLOOKUP(L104,'[1]M2 Trip Matrix'!$AB$3:$AC$8,2,1)</f>
        <v>31-50</v>
      </c>
      <c r="N104" s="36">
        <f>VLOOKUP(M104,'[1]M2 Trip Matrix'!$AC$2:$AD$8,2,0)</f>
        <v>4902</v>
      </c>
      <c r="O104" s="51">
        <v>99</v>
      </c>
      <c r="P104" s="51" t="str">
        <f t="shared" si="60"/>
        <v>81-110</v>
      </c>
      <c r="Q104" s="51">
        <f t="shared" si="56"/>
        <v>8747.8561594387575</v>
      </c>
      <c r="R104" s="49">
        <v>22</v>
      </c>
      <c r="S104" s="49" t="str">
        <f t="shared" si="57"/>
        <v>21-30</v>
      </c>
      <c r="T104" s="49">
        <f t="shared" si="58"/>
        <v>4508.6394748902885</v>
      </c>
      <c r="U104" s="50">
        <v>20</v>
      </c>
      <c r="V104" s="50" t="str">
        <f t="shared" si="61"/>
        <v>0-20</v>
      </c>
      <c r="W104" s="50">
        <f t="shared" si="59"/>
        <v>3844.3574443810608</v>
      </c>
      <c r="X104" s="143" t="s">
        <v>1458</v>
      </c>
      <c r="Y104" s="143" t="e">
        <f t="shared" si="62"/>
        <v>#N/A</v>
      </c>
      <c r="Z104" s="143" t="e">
        <f t="shared" si="63"/>
        <v>#N/A</v>
      </c>
      <c r="AA104" s="116"/>
      <c r="AB104" s="114" t="str">
        <f t="shared" si="64"/>
        <v>0-20</v>
      </c>
      <c r="AC104" s="114">
        <f t="shared" si="65"/>
        <v>3844.3574443810608</v>
      </c>
      <c r="AD104" s="129"/>
      <c r="AE104" s="129" t="str">
        <f t="shared" si="75"/>
        <v>0-20</v>
      </c>
      <c r="AF104" s="129">
        <f t="shared" si="76"/>
        <v>3844.3574443810608</v>
      </c>
      <c r="AG104" s="138">
        <v>94</v>
      </c>
      <c r="AH104" s="138" t="str">
        <f t="shared" si="83"/>
        <v>81-110</v>
      </c>
      <c r="AI104" s="138">
        <f t="shared" si="84"/>
        <v>8747.8561594387575</v>
      </c>
      <c r="AJ104" s="36"/>
      <c r="AK104" s="36" t="str">
        <f t="shared" si="81"/>
        <v>0-20</v>
      </c>
      <c r="AL104" s="37">
        <f t="shared" si="82"/>
        <v>3844.3574443810608</v>
      </c>
      <c r="AM104" s="37"/>
      <c r="AN104" s="3" t="str">
        <f t="shared" si="85"/>
        <v>0-20</v>
      </c>
      <c r="AO104" s="119">
        <f t="shared" si="86"/>
        <v>3844.3574443810608</v>
      </c>
      <c r="AP104" s="133"/>
      <c r="AQ104" s="133" t="str">
        <f t="shared" si="68"/>
        <v>0-20</v>
      </c>
      <c r="AR104" s="133">
        <f t="shared" si="69"/>
        <v>3844.3574443810608</v>
      </c>
      <c r="AS104" s="131"/>
      <c r="AT104" s="131"/>
      <c r="AU104" s="41"/>
      <c r="AV104" s="41"/>
      <c r="AW104" s="41"/>
    </row>
    <row r="105" spans="1:49" x14ac:dyDescent="0.25">
      <c r="A105" s="32">
        <v>102</v>
      </c>
      <c r="B105" s="13" t="s">
        <v>21</v>
      </c>
      <c r="C105" s="11" t="s">
        <v>308</v>
      </c>
      <c r="D105" s="10">
        <v>0</v>
      </c>
      <c r="E105" s="77" t="s">
        <v>309</v>
      </c>
      <c r="F105" s="34" t="s">
        <v>310</v>
      </c>
      <c r="G105" s="6" t="s">
        <v>311</v>
      </c>
      <c r="H105" s="33">
        <v>421303</v>
      </c>
      <c r="I105" s="90">
        <v>185</v>
      </c>
      <c r="J105" s="90" t="str">
        <f>VLOOKUP(I105,$AV$4:$AW$9,2,1)</f>
        <v>110-130</v>
      </c>
      <c r="K105" s="91">
        <f>VLOOKUP(J105,$AW$3:$AX$9,2,0)</f>
        <v>10159.810450732197</v>
      </c>
      <c r="L105" s="35">
        <v>79</v>
      </c>
      <c r="M105" s="35" t="str">
        <f>VLOOKUP(L105,$AV$4:$AW$9,2,1)</f>
        <v>51-80</v>
      </c>
      <c r="N105" s="36">
        <f>VLOOKUP(M105,$AW$3:$AX$9,2,0)</f>
        <v>6509</v>
      </c>
      <c r="O105" s="51">
        <v>50</v>
      </c>
      <c r="P105" s="51" t="str">
        <f t="shared" si="60"/>
        <v>31-50</v>
      </c>
      <c r="Q105" s="51">
        <f t="shared" si="56"/>
        <v>5073.1976040297868</v>
      </c>
      <c r="R105" s="49">
        <v>103</v>
      </c>
      <c r="S105" s="49" t="str">
        <f t="shared" si="57"/>
        <v>81-110</v>
      </c>
      <c r="T105" s="49">
        <f t="shared" si="58"/>
        <v>8747.8561594387575</v>
      </c>
      <c r="U105" s="50">
        <v>109</v>
      </c>
      <c r="V105" s="50" t="str">
        <f t="shared" si="61"/>
        <v>81-110</v>
      </c>
      <c r="W105" s="50">
        <f t="shared" si="59"/>
        <v>8747.8561594387575</v>
      </c>
      <c r="X105" s="143" t="s">
        <v>1458</v>
      </c>
      <c r="Y105" s="143" t="e">
        <f t="shared" si="62"/>
        <v>#N/A</v>
      </c>
      <c r="Z105" s="143" t="e">
        <f t="shared" si="63"/>
        <v>#N/A</v>
      </c>
      <c r="AA105" s="116"/>
      <c r="AB105" s="114" t="str">
        <f t="shared" si="64"/>
        <v>0-20</v>
      </c>
      <c r="AC105" s="114">
        <f t="shared" si="65"/>
        <v>3844.3574443810608</v>
      </c>
      <c r="AD105" s="129"/>
      <c r="AE105" s="129" t="str">
        <f t="shared" si="75"/>
        <v>0-20</v>
      </c>
      <c r="AF105" s="129">
        <f t="shared" si="76"/>
        <v>3844.3574443810608</v>
      </c>
      <c r="AG105" s="138"/>
      <c r="AH105" s="138" t="str">
        <f t="shared" si="83"/>
        <v>0-20</v>
      </c>
      <c r="AI105" s="138">
        <f t="shared" si="84"/>
        <v>3844.3574443810608</v>
      </c>
      <c r="AJ105" s="36">
        <v>104</v>
      </c>
      <c r="AK105" s="36" t="str">
        <f t="shared" si="81"/>
        <v>81-110</v>
      </c>
      <c r="AL105" s="37">
        <f t="shared" si="82"/>
        <v>8747.8561594387575</v>
      </c>
      <c r="AM105" s="37"/>
      <c r="AN105" s="3" t="str">
        <f t="shared" si="85"/>
        <v>0-20</v>
      </c>
      <c r="AO105" s="119">
        <f t="shared" si="86"/>
        <v>3844.3574443810608</v>
      </c>
      <c r="AP105" s="133"/>
      <c r="AQ105" s="133" t="str">
        <f t="shared" si="68"/>
        <v>0-20</v>
      </c>
      <c r="AR105" s="133">
        <f t="shared" si="69"/>
        <v>3844.3574443810608</v>
      </c>
      <c r="AS105" s="131"/>
      <c r="AT105" s="131"/>
      <c r="AU105" s="41"/>
      <c r="AV105" s="41"/>
      <c r="AW105" s="41"/>
    </row>
    <row r="106" spans="1:49" x14ac:dyDescent="0.25">
      <c r="A106" s="32">
        <v>103</v>
      </c>
      <c r="B106" s="13" t="s">
        <v>21</v>
      </c>
      <c r="C106" s="11" t="s">
        <v>512</v>
      </c>
      <c r="D106" s="10">
        <v>0</v>
      </c>
      <c r="E106" s="11" t="s">
        <v>513</v>
      </c>
      <c r="F106" s="34" t="s">
        <v>514</v>
      </c>
      <c r="G106" s="6" t="s">
        <v>515</v>
      </c>
      <c r="H106" s="33">
        <v>401209</v>
      </c>
      <c r="I106" s="90">
        <v>136</v>
      </c>
      <c r="J106" s="90" t="str">
        <f>VLOOKUP(I106,'[1]M2 Trip Matrix'!$AB$3:$AC$8,2,1)</f>
        <v>110-130</v>
      </c>
      <c r="K106" s="91">
        <f>VLOOKUP(J106,'[1]M2 Trip Matrix'!$AC$2:$AD$8,2,0)</f>
        <v>9818</v>
      </c>
      <c r="L106" s="35">
        <v>35</v>
      </c>
      <c r="M106" s="35" t="str">
        <f>VLOOKUP(L106,'[1]M2 Trip Matrix'!$AB$3:$AC$8,2,1)</f>
        <v>31-50</v>
      </c>
      <c r="N106" s="36">
        <f>VLOOKUP(M106,'[1]M2 Trip Matrix'!$AC$2:$AD$8,2,0)</f>
        <v>4902</v>
      </c>
      <c r="O106" s="51">
        <v>15</v>
      </c>
      <c r="P106" s="51" t="str">
        <f t="shared" si="60"/>
        <v>0-20</v>
      </c>
      <c r="Q106" s="51">
        <f t="shared" si="56"/>
        <v>3844.3574443810608</v>
      </c>
      <c r="R106" s="49">
        <v>43</v>
      </c>
      <c r="S106" s="49" t="str">
        <f t="shared" si="57"/>
        <v>31-50</v>
      </c>
      <c r="T106" s="49">
        <f t="shared" si="58"/>
        <v>5073.1976040297868</v>
      </c>
      <c r="U106" s="50">
        <v>57</v>
      </c>
      <c r="V106" s="50" t="str">
        <f t="shared" si="61"/>
        <v>51-80</v>
      </c>
      <c r="W106" s="50">
        <f t="shared" si="59"/>
        <v>6509</v>
      </c>
      <c r="X106" s="143" t="s">
        <v>1458</v>
      </c>
      <c r="Y106" s="143" t="e">
        <f t="shared" si="62"/>
        <v>#N/A</v>
      </c>
      <c r="Z106" s="143" t="e">
        <f t="shared" si="63"/>
        <v>#N/A</v>
      </c>
      <c r="AA106" s="116"/>
      <c r="AB106" s="114" t="str">
        <f t="shared" si="64"/>
        <v>0-20</v>
      </c>
      <c r="AC106" s="114">
        <f t="shared" si="65"/>
        <v>3844.3574443810608</v>
      </c>
      <c r="AD106" s="129"/>
      <c r="AE106" s="129" t="str">
        <f t="shared" si="75"/>
        <v>0-20</v>
      </c>
      <c r="AF106" s="129">
        <f t="shared" si="76"/>
        <v>3844.3574443810608</v>
      </c>
      <c r="AG106" s="139">
        <v>54</v>
      </c>
      <c r="AH106" s="138" t="str">
        <f t="shared" si="83"/>
        <v>51-80</v>
      </c>
      <c r="AI106" s="138">
        <f t="shared" si="84"/>
        <v>6509</v>
      </c>
      <c r="AJ106" s="36">
        <v>62</v>
      </c>
      <c r="AK106" s="36" t="str">
        <f t="shared" si="81"/>
        <v>51-80</v>
      </c>
      <c r="AL106" s="37">
        <f t="shared" si="82"/>
        <v>6509</v>
      </c>
      <c r="AM106" s="37"/>
      <c r="AN106" s="3" t="str">
        <f t="shared" si="85"/>
        <v>0-20</v>
      </c>
      <c r="AO106" s="119">
        <f t="shared" si="86"/>
        <v>3844.3574443810608</v>
      </c>
      <c r="AP106" s="133"/>
      <c r="AQ106" s="133" t="str">
        <f t="shared" si="68"/>
        <v>0-20</v>
      </c>
      <c r="AR106" s="133">
        <f t="shared" si="69"/>
        <v>3844.3574443810608</v>
      </c>
      <c r="AS106" s="131"/>
      <c r="AT106" s="131"/>
      <c r="AU106" s="41"/>
      <c r="AV106" s="41"/>
      <c r="AW106" s="41"/>
    </row>
    <row r="107" spans="1:49" x14ac:dyDescent="0.25">
      <c r="A107" s="32">
        <v>104</v>
      </c>
      <c r="B107" s="13" t="s">
        <v>21</v>
      </c>
      <c r="C107" s="11" t="s">
        <v>312</v>
      </c>
      <c r="D107" s="10" t="s">
        <v>968</v>
      </c>
      <c r="E107" s="11" t="s">
        <v>313</v>
      </c>
      <c r="F107" s="34" t="s">
        <v>314</v>
      </c>
      <c r="G107" s="6" t="s">
        <v>315</v>
      </c>
      <c r="H107" s="33">
        <v>401104</v>
      </c>
      <c r="I107" s="90">
        <v>127</v>
      </c>
      <c r="J107" s="90" t="str">
        <f>VLOOKUP(I107,$AV$4:$AW$9,2,1)</f>
        <v>110-130</v>
      </c>
      <c r="K107" s="91">
        <f>VLOOKUP(J107,$AW$3:$AX$9,2,0)</f>
        <v>10159.810450732197</v>
      </c>
      <c r="L107" s="35">
        <v>23</v>
      </c>
      <c r="M107" s="35" t="str">
        <f>VLOOKUP(L107,$AV$4:$AW$9,2,1)</f>
        <v>21-30</v>
      </c>
      <c r="N107" s="36">
        <f t="shared" ref="N107:N141" si="87">VLOOKUP(M107,$AW$3:$AX$9,2,0)</f>
        <v>4508.6394748902885</v>
      </c>
      <c r="O107" s="51">
        <v>26</v>
      </c>
      <c r="P107" s="51" t="str">
        <f t="shared" si="60"/>
        <v>21-30</v>
      </c>
      <c r="Q107" s="51">
        <f t="shared" si="56"/>
        <v>4508.6394748902885</v>
      </c>
      <c r="R107" s="49">
        <v>23</v>
      </c>
      <c r="S107" s="49" t="str">
        <f t="shared" si="57"/>
        <v>21-30</v>
      </c>
      <c r="T107" s="49">
        <f t="shared" si="58"/>
        <v>4508.6394748902885</v>
      </c>
      <c r="U107" s="50">
        <v>32</v>
      </c>
      <c r="V107" s="50" t="str">
        <f t="shared" si="61"/>
        <v>31-50</v>
      </c>
      <c r="W107" s="50">
        <f t="shared" si="59"/>
        <v>5073.1976040297868</v>
      </c>
      <c r="X107" s="143" t="s">
        <v>1458</v>
      </c>
      <c r="Y107" s="143" t="e">
        <f t="shared" si="62"/>
        <v>#N/A</v>
      </c>
      <c r="Z107" s="143" t="e">
        <f t="shared" si="63"/>
        <v>#N/A</v>
      </c>
      <c r="AA107" s="116">
        <v>19</v>
      </c>
      <c r="AB107" s="114" t="str">
        <f t="shared" si="64"/>
        <v>0-20</v>
      </c>
      <c r="AC107" s="114">
        <f t="shared" si="65"/>
        <v>3844.3574443810608</v>
      </c>
      <c r="AD107" s="129"/>
      <c r="AE107" s="129" t="str">
        <f t="shared" si="75"/>
        <v>0-20</v>
      </c>
      <c r="AF107" s="129">
        <f t="shared" si="76"/>
        <v>3844.3574443810608</v>
      </c>
      <c r="AG107" s="138">
        <v>72</v>
      </c>
      <c r="AH107" s="138" t="str">
        <f t="shared" si="83"/>
        <v>51-80</v>
      </c>
      <c r="AI107" s="138">
        <f t="shared" si="84"/>
        <v>6509</v>
      </c>
      <c r="AJ107" s="36">
        <v>40</v>
      </c>
      <c r="AK107" s="36" t="str">
        <f t="shared" si="81"/>
        <v>31-50</v>
      </c>
      <c r="AL107" s="37">
        <f t="shared" si="82"/>
        <v>5073.1976040297868</v>
      </c>
      <c r="AM107" s="37">
        <v>93</v>
      </c>
      <c r="AN107" s="3" t="str">
        <f t="shared" si="85"/>
        <v>81-110</v>
      </c>
      <c r="AO107" s="119">
        <f t="shared" si="86"/>
        <v>8747.8561594387575</v>
      </c>
      <c r="AP107" s="133"/>
      <c r="AQ107" s="133" t="str">
        <f t="shared" si="68"/>
        <v>0-20</v>
      </c>
      <c r="AR107" s="133">
        <f t="shared" si="69"/>
        <v>3844.3574443810608</v>
      </c>
      <c r="AS107" s="131"/>
      <c r="AT107" s="131"/>
      <c r="AU107" s="41"/>
      <c r="AV107" s="41"/>
      <c r="AW107" s="41"/>
    </row>
    <row r="108" spans="1:49" x14ac:dyDescent="0.25">
      <c r="A108" s="32"/>
      <c r="B108" s="13"/>
      <c r="C108" s="11"/>
      <c r="D108" s="10" t="s">
        <v>1446</v>
      </c>
      <c r="E108" s="11" t="s">
        <v>313</v>
      </c>
      <c r="F108" s="34" t="s">
        <v>1445</v>
      </c>
      <c r="G108" s="6" t="s">
        <v>315</v>
      </c>
      <c r="H108" s="33">
        <v>401107</v>
      </c>
      <c r="I108" s="90"/>
      <c r="J108" s="90"/>
      <c r="K108" s="91"/>
      <c r="L108" s="35">
        <v>26</v>
      </c>
      <c r="M108" s="35" t="str">
        <f>VLOOKUP(L108,$AV$4:$AW$9,2,1)</f>
        <v>21-30</v>
      </c>
      <c r="N108" s="36">
        <f t="shared" si="87"/>
        <v>4508.6394748902885</v>
      </c>
      <c r="O108" s="51">
        <v>26</v>
      </c>
      <c r="P108" s="51" t="str">
        <f t="shared" si="60"/>
        <v>21-30</v>
      </c>
      <c r="Q108" s="51">
        <f t="shared" si="56"/>
        <v>4508.6394748902885</v>
      </c>
      <c r="R108" s="49">
        <v>23</v>
      </c>
      <c r="S108" s="49" t="str">
        <f t="shared" si="57"/>
        <v>21-30</v>
      </c>
      <c r="T108" s="49">
        <f t="shared" si="58"/>
        <v>4508.6394748902885</v>
      </c>
      <c r="U108" s="50">
        <v>33</v>
      </c>
      <c r="V108" s="50" t="str">
        <f t="shared" si="61"/>
        <v>31-50</v>
      </c>
      <c r="W108" s="50">
        <f t="shared" si="59"/>
        <v>5073.1976040297868</v>
      </c>
      <c r="X108" s="143">
        <v>47</v>
      </c>
      <c r="Y108" s="143" t="str">
        <f t="shared" si="62"/>
        <v>31-50</v>
      </c>
      <c r="Z108" s="143">
        <f t="shared" si="63"/>
        <v>5073.1976040297868</v>
      </c>
      <c r="AA108" s="116"/>
      <c r="AB108" s="114"/>
      <c r="AC108" s="114"/>
      <c r="AD108" s="129"/>
      <c r="AE108" s="129"/>
      <c r="AF108" s="129"/>
      <c r="AG108" s="138"/>
      <c r="AH108" s="138"/>
      <c r="AI108" s="138"/>
      <c r="AJ108" s="36"/>
      <c r="AK108" s="36"/>
      <c r="AL108" s="37"/>
      <c r="AM108" s="37"/>
      <c r="AN108" s="3"/>
      <c r="AO108" s="119"/>
      <c r="AP108" s="133"/>
      <c r="AQ108" s="133"/>
      <c r="AR108" s="133"/>
      <c r="AS108" s="131"/>
      <c r="AT108" s="131"/>
      <c r="AU108" s="41"/>
      <c r="AV108" s="41"/>
      <c r="AW108" s="41"/>
    </row>
    <row r="109" spans="1:49" x14ac:dyDescent="0.25">
      <c r="A109" s="32">
        <v>105</v>
      </c>
      <c r="B109" s="13" t="s">
        <v>21</v>
      </c>
      <c r="C109" s="11" t="s">
        <v>316</v>
      </c>
      <c r="D109" s="10">
        <v>0</v>
      </c>
      <c r="E109" s="11" t="s">
        <v>317</v>
      </c>
      <c r="F109" s="34" t="s">
        <v>318</v>
      </c>
      <c r="G109" s="6" t="s">
        <v>175</v>
      </c>
      <c r="H109" s="33">
        <v>402103</v>
      </c>
      <c r="I109" s="90">
        <v>138</v>
      </c>
      <c r="J109" s="90" t="str">
        <f>VLOOKUP(I109,$AV$4:$AW$9,2,1)</f>
        <v>110-130</v>
      </c>
      <c r="K109" s="91">
        <f t="shared" ref="K109:K141" si="88">VLOOKUP(J109,$AW$3:$AX$9,2,0)</f>
        <v>10159.810450732197</v>
      </c>
      <c r="L109" s="35">
        <v>156</v>
      </c>
      <c r="M109" s="35" t="str">
        <f>VLOOKUP(L109,$AV$4:$AW$9,2,1)</f>
        <v>110-130</v>
      </c>
      <c r="N109" s="36">
        <f t="shared" si="87"/>
        <v>10159.810450732197</v>
      </c>
      <c r="O109" s="51">
        <v>184</v>
      </c>
      <c r="P109" s="51" t="str">
        <f t="shared" si="60"/>
        <v>110-130</v>
      </c>
      <c r="Q109" s="51">
        <f t="shared" si="56"/>
        <v>10159.810450732197</v>
      </c>
      <c r="R109" s="49">
        <v>152</v>
      </c>
      <c r="S109" s="49" t="str">
        <f t="shared" si="57"/>
        <v>110-130</v>
      </c>
      <c r="T109" s="49">
        <f t="shared" si="58"/>
        <v>10159.810450732197</v>
      </c>
      <c r="U109" s="50">
        <v>142</v>
      </c>
      <c r="V109" s="50" t="str">
        <f t="shared" si="61"/>
        <v>110-130</v>
      </c>
      <c r="W109" s="50">
        <f t="shared" si="59"/>
        <v>10159.810450732197</v>
      </c>
      <c r="X109" s="143" t="s">
        <v>1458</v>
      </c>
      <c r="Y109" s="143" t="e">
        <f t="shared" si="62"/>
        <v>#N/A</v>
      </c>
      <c r="Z109" s="143" t="e">
        <f t="shared" si="63"/>
        <v>#N/A</v>
      </c>
      <c r="AA109" s="116"/>
      <c r="AB109" s="114" t="str">
        <f t="shared" si="64"/>
        <v>0-20</v>
      </c>
      <c r="AC109" s="114">
        <f t="shared" si="65"/>
        <v>3844.3574443810608</v>
      </c>
      <c r="AD109" s="129"/>
      <c r="AE109" s="129" t="str">
        <f t="shared" si="75"/>
        <v>0-20</v>
      </c>
      <c r="AF109" s="129">
        <f t="shared" si="76"/>
        <v>3844.3574443810608</v>
      </c>
      <c r="AG109" s="138"/>
      <c r="AH109" s="138" t="str">
        <f t="shared" si="83"/>
        <v>0-20</v>
      </c>
      <c r="AI109" s="138">
        <f t="shared" si="84"/>
        <v>3844.3574443810608</v>
      </c>
      <c r="AJ109" s="36">
        <v>140</v>
      </c>
      <c r="AK109" s="36" t="str">
        <f t="shared" si="81"/>
        <v>110-130</v>
      </c>
      <c r="AL109" s="37">
        <f t="shared" si="82"/>
        <v>10159.810450732197</v>
      </c>
      <c r="AM109" s="37"/>
      <c r="AN109" s="3" t="str">
        <f t="shared" si="85"/>
        <v>0-20</v>
      </c>
      <c r="AO109" s="119">
        <f t="shared" si="86"/>
        <v>3844.3574443810608</v>
      </c>
      <c r="AP109" s="133"/>
      <c r="AQ109" s="133" t="str">
        <f t="shared" si="68"/>
        <v>0-20</v>
      </c>
      <c r="AR109" s="133">
        <f t="shared" si="69"/>
        <v>3844.3574443810608</v>
      </c>
      <c r="AS109" s="131"/>
      <c r="AT109" s="131"/>
      <c r="AU109" s="41"/>
      <c r="AV109" s="41"/>
      <c r="AW109" s="41"/>
    </row>
    <row r="110" spans="1:49" x14ac:dyDescent="0.25">
      <c r="A110" s="32">
        <v>106</v>
      </c>
      <c r="B110" s="13" t="s">
        <v>21</v>
      </c>
      <c r="C110" s="11" t="s">
        <v>319</v>
      </c>
      <c r="D110" s="10" t="s">
        <v>969</v>
      </c>
      <c r="E110" s="11" t="s">
        <v>320</v>
      </c>
      <c r="F110" s="34" t="s">
        <v>321</v>
      </c>
      <c r="G110" s="6" t="s">
        <v>322</v>
      </c>
      <c r="H110" s="33">
        <v>421306</v>
      </c>
      <c r="I110" s="90">
        <v>106</v>
      </c>
      <c r="J110" s="90" t="str">
        <f>VLOOKUP(I110,$AV$4:$AW$9,2,1)</f>
        <v>81-110</v>
      </c>
      <c r="K110" s="91">
        <f t="shared" si="88"/>
        <v>8747.8561594387575</v>
      </c>
      <c r="L110" s="99">
        <v>26</v>
      </c>
      <c r="M110" s="99" t="str">
        <f>VLOOKUP(L110,$AV$4:$AW$9,2,1)</f>
        <v>21-30</v>
      </c>
      <c r="N110" s="100">
        <f t="shared" si="87"/>
        <v>4508.6394748902885</v>
      </c>
      <c r="O110" s="51">
        <v>47.2</v>
      </c>
      <c r="P110" s="51" t="str">
        <f t="shared" si="60"/>
        <v>31-50</v>
      </c>
      <c r="Q110" s="51">
        <f t="shared" si="56"/>
        <v>5073.1976040297868</v>
      </c>
      <c r="R110" s="49">
        <v>46</v>
      </c>
      <c r="S110" s="49" t="str">
        <f t="shared" si="57"/>
        <v>31-50</v>
      </c>
      <c r="T110" s="49">
        <f t="shared" si="58"/>
        <v>5073.1976040297868</v>
      </c>
      <c r="U110" s="50">
        <v>40</v>
      </c>
      <c r="V110" s="50" t="str">
        <f t="shared" si="61"/>
        <v>31-50</v>
      </c>
      <c r="W110" s="50">
        <f t="shared" si="59"/>
        <v>5073.1976040297868</v>
      </c>
      <c r="X110" s="143">
        <v>22</v>
      </c>
      <c r="Y110" s="143" t="str">
        <f t="shared" si="62"/>
        <v>21-30</v>
      </c>
      <c r="Z110" s="143">
        <f t="shared" si="63"/>
        <v>4508.6394748902885</v>
      </c>
      <c r="AA110" s="116"/>
      <c r="AB110" s="114" t="str">
        <f t="shared" si="64"/>
        <v>0-20</v>
      </c>
      <c r="AC110" s="114">
        <f t="shared" si="65"/>
        <v>3844.3574443810608</v>
      </c>
      <c r="AD110" s="129"/>
      <c r="AE110" s="129" t="str">
        <f t="shared" si="75"/>
        <v>0-20</v>
      </c>
      <c r="AF110" s="129">
        <f t="shared" si="76"/>
        <v>3844.3574443810608</v>
      </c>
      <c r="AG110" s="139">
        <v>109</v>
      </c>
      <c r="AH110" s="138" t="str">
        <f t="shared" si="83"/>
        <v>81-110</v>
      </c>
      <c r="AI110" s="138">
        <f t="shared" si="84"/>
        <v>8747.8561594387575</v>
      </c>
      <c r="AJ110" s="36">
        <v>48</v>
      </c>
      <c r="AK110" s="36" t="str">
        <f t="shared" si="81"/>
        <v>31-50</v>
      </c>
      <c r="AL110" s="37">
        <f t="shared" si="82"/>
        <v>5073.1976040297868</v>
      </c>
      <c r="AM110" s="37"/>
      <c r="AN110" s="3" t="str">
        <f t="shared" si="85"/>
        <v>0-20</v>
      </c>
      <c r="AO110" s="119">
        <f t="shared" si="86"/>
        <v>3844.3574443810608</v>
      </c>
      <c r="AP110" s="133"/>
      <c r="AQ110" s="133" t="str">
        <f t="shared" si="68"/>
        <v>0-20</v>
      </c>
      <c r="AR110" s="133">
        <f t="shared" si="69"/>
        <v>3844.3574443810608</v>
      </c>
      <c r="AS110" s="131"/>
      <c r="AT110" s="131"/>
      <c r="AU110" s="41"/>
      <c r="AV110" s="41"/>
      <c r="AW110" s="41">
        <f>4760-260</f>
        <v>4500</v>
      </c>
    </row>
    <row r="111" spans="1:49" x14ac:dyDescent="0.25">
      <c r="A111" s="32">
        <v>107</v>
      </c>
      <c r="B111" s="13" t="s">
        <v>21</v>
      </c>
      <c r="C111" s="11" t="s">
        <v>323</v>
      </c>
      <c r="D111" s="10" t="s">
        <v>970</v>
      </c>
      <c r="E111" s="11" t="s">
        <v>324</v>
      </c>
      <c r="F111" s="34" t="s">
        <v>325</v>
      </c>
      <c r="G111" s="6" t="s">
        <v>326</v>
      </c>
      <c r="H111" s="33">
        <v>401404</v>
      </c>
      <c r="I111" s="90">
        <v>191</v>
      </c>
      <c r="J111" s="90" t="str">
        <f>VLOOKUP(I111,$AV$4:$AW$9,2,1)</f>
        <v>110-130</v>
      </c>
      <c r="K111" s="91">
        <f t="shared" si="88"/>
        <v>10159.810450732197</v>
      </c>
      <c r="L111" s="35">
        <v>86</v>
      </c>
      <c r="M111" s="35" t="str">
        <f>VLOOKUP(L111,$AV$4:$AW$9,2,1)</f>
        <v>81-110</v>
      </c>
      <c r="N111" s="36">
        <f t="shared" si="87"/>
        <v>8747.8561594387575</v>
      </c>
      <c r="O111" s="51">
        <v>58</v>
      </c>
      <c r="P111" s="51" t="str">
        <f t="shared" si="60"/>
        <v>51-80</v>
      </c>
      <c r="Q111" s="51">
        <f t="shared" si="56"/>
        <v>6509</v>
      </c>
      <c r="R111" s="49">
        <v>93</v>
      </c>
      <c r="S111" s="49" t="str">
        <f t="shared" si="57"/>
        <v>81-110</v>
      </c>
      <c r="T111" s="49">
        <f t="shared" si="58"/>
        <v>8747.8561594387575</v>
      </c>
      <c r="U111" s="50">
        <v>97</v>
      </c>
      <c r="V111" s="50" t="str">
        <f t="shared" si="61"/>
        <v>81-110</v>
      </c>
      <c r="W111" s="50">
        <f t="shared" si="59"/>
        <v>8747.8561594387575</v>
      </c>
      <c r="X111" s="143">
        <v>82</v>
      </c>
      <c r="Y111" s="143" t="str">
        <f t="shared" si="62"/>
        <v>81-110</v>
      </c>
      <c r="Z111" s="143">
        <f t="shared" si="63"/>
        <v>8747.8561594387575</v>
      </c>
      <c r="AA111" s="116"/>
      <c r="AB111" s="114" t="str">
        <f t="shared" si="64"/>
        <v>0-20</v>
      </c>
      <c r="AC111" s="114">
        <f t="shared" si="65"/>
        <v>3844.3574443810608</v>
      </c>
      <c r="AD111" s="129"/>
      <c r="AE111" s="129" t="str">
        <f t="shared" si="75"/>
        <v>0-20</v>
      </c>
      <c r="AF111" s="129">
        <f t="shared" si="76"/>
        <v>3844.3574443810608</v>
      </c>
      <c r="AG111" s="138">
        <v>35</v>
      </c>
      <c r="AH111" s="138" t="str">
        <f t="shared" si="83"/>
        <v>31-50</v>
      </c>
      <c r="AI111" s="138">
        <f t="shared" si="84"/>
        <v>5073.1976040297868</v>
      </c>
      <c r="AJ111" s="36">
        <v>110</v>
      </c>
      <c r="AK111" s="36" t="str">
        <f t="shared" si="81"/>
        <v>110-130</v>
      </c>
      <c r="AL111" s="37">
        <f t="shared" si="82"/>
        <v>10159.810450732197</v>
      </c>
      <c r="AM111" s="37"/>
      <c r="AN111" s="3" t="str">
        <f t="shared" si="85"/>
        <v>0-20</v>
      </c>
      <c r="AO111" s="119">
        <f t="shared" si="86"/>
        <v>3844.3574443810608</v>
      </c>
      <c r="AP111" s="133"/>
      <c r="AQ111" s="133" t="str">
        <f t="shared" si="68"/>
        <v>0-20</v>
      </c>
      <c r="AR111" s="133">
        <f t="shared" si="69"/>
        <v>3844.3574443810608</v>
      </c>
      <c r="AS111" s="131"/>
      <c r="AT111" s="131"/>
      <c r="AU111" s="41"/>
      <c r="AV111" s="41"/>
      <c r="AW111" s="41"/>
    </row>
    <row r="112" spans="1:49" x14ac:dyDescent="0.25">
      <c r="A112" s="32">
        <v>108</v>
      </c>
      <c r="B112" s="13" t="s">
        <v>21</v>
      </c>
      <c r="C112" s="12" t="s">
        <v>559</v>
      </c>
      <c r="D112" s="10" t="s">
        <v>971</v>
      </c>
      <c r="E112" s="12" t="s">
        <v>560</v>
      </c>
      <c r="F112" s="12" t="s">
        <v>561</v>
      </c>
      <c r="G112" s="12" t="s">
        <v>558</v>
      </c>
      <c r="H112" s="12">
        <v>421302</v>
      </c>
      <c r="I112" s="90">
        <v>122</v>
      </c>
      <c r="J112" s="90" t="str">
        <f>VLOOKUP(I112,'[1]M2 Trip Matrix'!$AB$3:$AC$8,2,1)</f>
        <v>110-130</v>
      </c>
      <c r="K112" s="91">
        <f t="shared" si="88"/>
        <v>10159.810450732197</v>
      </c>
      <c r="L112" s="2">
        <v>20</v>
      </c>
      <c r="M112" s="35" t="str">
        <f>VLOOKUP(L112,'[1]M2 Trip Matrix'!$AB$3:$AC$8,2,1)</f>
        <v>0-20</v>
      </c>
      <c r="N112" s="36">
        <f t="shared" si="87"/>
        <v>3844.3574443810608</v>
      </c>
      <c r="O112" s="20">
        <v>46</v>
      </c>
      <c r="P112" s="51" t="str">
        <f t="shared" si="60"/>
        <v>31-50</v>
      </c>
      <c r="Q112" s="51">
        <f t="shared" si="56"/>
        <v>5073.1976040297868</v>
      </c>
      <c r="R112" s="21">
        <v>49</v>
      </c>
      <c r="S112" s="49" t="str">
        <f t="shared" si="57"/>
        <v>31-50</v>
      </c>
      <c r="T112" s="49">
        <f t="shared" si="58"/>
        <v>5073.1976040297868</v>
      </c>
      <c r="U112" s="22">
        <v>47</v>
      </c>
      <c r="V112" s="50" t="str">
        <f t="shared" si="61"/>
        <v>31-50</v>
      </c>
      <c r="W112" s="50">
        <f t="shared" si="59"/>
        <v>5073.1976040297868</v>
      </c>
      <c r="X112" s="143" t="s">
        <v>1458</v>
      </c>
      <c r="Y112" s="143" t="e">
        <f t="shared" si="62"/>
        <v>#N/A</v>
      </c>
      <c r="Z112" s="143" t="e">
        <f t="shared" si="63"/>
        <v>#N/A</v>
      </c>
      <c r="AA112" s="115"/>
      <c r="AB112" s="114" t="str">
        <f t="shared" si="64"/>
        <v>0-20</v>
      </c>
      <c r="AC112" s="114">
        <f t="shared" si="65"/>
        <v>3844.3574443810608</v>
      </c>
      <c r="AD112" s="129"/>
      <c r="AE112" s="129" t="str">
        <f t="shared" si="75"/>
        <v>0-20</v>
      </c>
      <c r="AF112" s="129">
        <f t="shared" si="76"/>
        <v>3844.3574443810608</v>
      </c>
      <c r="AG112" s="138">
        <v>75</v>
      </c>
      <c r="AH112" s="138" t="str">
        <f t="shared" si="83"/>
        <v>51-80</v>
      </c>
      <c r="AI112" s="138">
        <f t="shared" si="84"/>
        <v>6509</v>
      </c>
      <c r="AJ112" s="22"/>
      <c r="AK112" s="2"/>
      <c r="AL112" s="2"/>
      <c r="AM112" s="2"/>
      <c r="AN112" s="3" t="str">
        <f t="shared" si="85"/>
        <v>0-20</v>
      </c>
      <c r="AO112" s="119">
        <f t="shared" si="86"/>
        <v>3844.3574443810608</v>
      </c>
      <c r="AP112" s="133"/>
      <c r="AQ112" s="133" t="str">
        <f t="shared" si="68"/>
        <v>0-20</v>
      </c>
      <c r="AR112" s="133">
        <f t="shared" si="69"/>
        <v>3844.3574443810608</v>
      </c>
      <c r="AS112" s="131"/>
      <c r="AT112" s="131"/>
      <c r="AU112" s="41"/>
      <c r="AV112" s="41"/>
      <c r="AW112" s="41"/>
    </row>
    <row r="113" spans="1:49" x14ac:dyDescent="0.25">
      <c r="A113" s="32">
        <v>109</v>
      </c>
      <c r="B113" s="13" t="s">
        <v>21</v>
      </c>
      <c r="C113" s="12" t="s">
        <v>641</v>
      </c>
      <c r="D113" s="10" t="s">
        <v>972</v>
      </c>
      <c r="E113" t="s">
        <v>560</v>
      </c>
      <c r="F113" s="12" t="s">
        <v>642</v>
      </c>
      <c r="G113" s="12" t="s">
        <v>558</v>
      </c>
      <c r="H113" s="12">
        <v>421302</v>
      </c>
      <c r="I113" s="90">
        <v>75</v>
      </c>
      <c r="J113" s="90" t="str">
        <f>VLOOKUP(I113,'[1]M2 Trip Matrix'!$AB$3:$AC$8,2,1)</f>
        <v>51-80</v>
      </c>
      <c r="K113" s="91">
        <f t="shared" si="88"/>
        <v>6509</v>
      </c>
      <c r="L113" s="2">
        <v>35</v>
      </c>
      <c r="M113" s="35" t="str">
        <f>VLOOKUP(L113,'[1]M2 Trip Matrix'!$AB$3:$AC$8,2,1)</f>
        <v>31-50</v>
      </c>
      <c r="N113" s="36">
        <f t="shared" si="87"/>
        <v>5073.1976040297868</v>
      </c>
      <c r="O113" s="20">
        <v>69</v>
      </c>
      <c r="P113" s="51" t="str">
        <f t="shared" si="60"/>
        <v>51-80</v>
      </c>
      <c r="Q113" s="51">
        <f t="shared" si="56"/>
        <v>6509</v>
      </c>
      <c r="R113" s="21">
        <v>53</v>
      </c>
      <c r="S113" s="49" t="str">
        <f t="shared" si="57"/>
        <v>51-80</v>
      </c>
      <c r="T113" s="49">
        <f t="shared" si="58"/>
        <v>6509</v>
      </c>
      <c r="U113" s="22">
        <v>50</v>
      </c>
      <c r="V113" s="50" t="str">
        <f t="shared" si="61"/>
        <v>31-50</v>
      </c>
      <c r="W113" s="50">
        <f t="shared" si="59"/>
        <v>5073.1976040297868</v>
      </c>
      <c r="X113" s="143" t="s">
        <v>1458</v>
      </c>
      <c r="Y113" s="143" t="e">
        <f t="shared" si="62"/>
        <v>#N/A</v>
      </c>
      <c r="Z113" s="143" t="e">
        <f t="shared" si="63"/>
        <v>#N/A</v>
      </c>
      <c r="AA113" s="115"/>
      <c r="AB113" s="114" t="str">
        <f t="shared" si="64"/>
        <v>0-20</v>
      </c>
      <c r="AC113" s="114">
        <f t="shared" si="65"/>
        <v>3844.3574443810608</v>
      </c>
      <c r="AD113" s="129"/>
      <c r="AE113" s="129" t="str">
        <f t="shared" si="75"/>
        <v>0-20</v>
      </c>
      <c r="AF113" s="129">
        <f t="shared" si="76"/>
        <v>3844.3574443810608</v>
      </c>
      <c r="AG113" s="138">
        <v>75</v>
      </c>
      <c r="AH113" s="138" t="str">
        <f t="shared" si="83"/>
        <v>51-80</v>
      </c>
      <c r="AI113" s="138">
        <f t="shared" si="84"/>
        <v>6509</v>
      </c>
      <c r="AJ113" s="22"/>
      <c r="AK113" s="2"/>
      <c r="AL113" s="2"/>
      <c r="AM113" s="2">
        <v>93</v>
      </c>
      <c r="AN113" s="3" t="str">
        <f t="shared" si="85"/>
        <v>81-110</v>
      </c>
      <c r="AO113" s="119">
        <f t="shared" si="86"/>
        <v>8747.8561594387575</v>
      </c>
      <c r="AP113" s="133"/>
      <c r="AQ113" s="133" t="str">
        <f t="shared" si="68"/>
        <v>0-20</v>
      </c>
      <c r="AR113" s="133">
        <f t="shared" si="69"/>
        <v>3844.3574443810608</v>
      </c>
      <c r="AS113" s="131"/>
      <c r="AT113" s="131"/>
      <c r="AU113" s="41"/>
      <c r="AV113" s="41"/>
      <c r="AW113" s="41"/>
    </row>
    <row r="114" spans="1:49" s="14" customFormat="1" x14ac:dyDescent="0.25">
      <c r="A114" s="32">
        <v>110</v>
      </c>
      <c r="B114" s="13" t="s">
        <v>21</v>
      </c>
      <c r="C114" s="9"/>
      <c r="D114" s="9" t="s">
        <v>1091</v>
      </c>
      <c r="E114" s="9" t="s">
        <v>1092</v>
      </c>
      <c r="F114" s="34" t="s">
        <v>1093</v>
      </c>
      <c r="G114" s="6" t="s">
        <v>558</v>
      </c>
      <c r="H114" s="33">
        <v>421302</v>
      </c>
      <c r="I114" s="35">
        <v>110</v>
      </c>
      <c r="J114" s="90" t="str">
        <f>VLOOKUP(I114,'[1]M2 Trip Matrix'!$AB$3:$AC$8,2,1)</f>
        <v>110-130</v>
      </c>
      <c r="K114" s="91">
        <f t="shared" si="88"/>
        <v>10159.810450732197</v>
      </c>
      <c r="L114" s="2">
        <v>35</v>
      </c>
      <c r="M114" s="35" t="str">
        <f>VLOOKUP(L114,'[1]M2 Trip Matrix'!$AB$3:$AC$8,2,1)</f>
        <v>31-50</v>
      </c>
      <c r="N114" s="36">
        <f t="shared" si="87"/>
        <v>5073.1976040297868</v>
      </c>
      <c r="O114" s="51">
        <v>37</v>
      </c>
      <c r="P114" s="51" t="str">
        <f t="shared" si="60"/>
        <v>31-50</v>
      </c>
      <c r="Q114" s="51">
        <f t="shared" si="56"/>
        <v>5073.1976040297868</v>
      </c>
      <c r="R114" s="49">
        <v>35</v>
      </c>
      <c r="S114" s="49" t="str">
        <f t="shared" si="57"/>
        <v>31-50</v>
      </c>
      <c r="T114" s="49">
        <f t="shared" si="58"/>
        <v>5073.1976040297868</v>
      </c>
      <c r="U114" s="50">
        <v>33</v>
      </c>
      <c r="V114" s="50" t="str">
        <f t="shared" si="61"/>
        <v>31-50</v>
      </c>
      <c r="W114" s="50">
        <f t="shared" si="59"/>
        <v>5073.1976040297868</v>
      </c>
      <c r="X114" s="143" t="s">
        <v>1458</v>
      </c>
      <c r="Y114" s="143" t="e">
        <f t="shared" si="62"/>
        <v>#N/A</v>
      </c>
      <c r="Z114" s="143" t="e">
        <f t="shared" si="63"/>
        <v>#N/A</v>
      </c>
      <c r="AA114" s="116"/>
      <c r="AB114" s="114" t="str">
        <f t="shared" si="64"/>
        <v>0-20</v>
      </c>
      <c r="AC114" s="114">
        <f t="shared" si="65"/>
        <v>3844.3574443810608</v>
      </c>
      <c r="AD114" s="129"/>
      <c r="AE114" s="129" t="str">
        <f t="shared" si="75"/>
        <v>0-20</v>
      </c>
      <c r="AF114" s="129">
        <f t="shared" si="76"/>
        <v>3844.3574443810608</v>
      </c>
      <c r="AG114" s="138">
        <v>75</v>
      </c>
      <c r="AH114" s="138" t="str">
        <f t="shared" si="83"/>
        <v>51-80</v>
      </c>
      <c r="AI114" s="138">
        <f t="shared" si="84"/>
        <v>6509</v>
      </c>
      <c r="AJ114" s="36"/>
      <c r="AK114" s="36"/>
      <c r="AL114" s="37"/>
      <c r="AM114" s="79"/>
      <c r="AN114" s="79"/>
      <c r="AO114" s="79"/>
      <c r="AP114" s="133"/>
      <c r="AQ114" s="133" t="str">
        <f t="shared" si="68"/>
        <v>0-20</v>
      </c>
      <c r="AR114" s="133">
        <f t="shared" si="69"/>
        <v>3844.3574443810608</v>
      </c>
      <c r="AS114" s="131"/>
      <c r="AT114" s="131"/>
      <c r="AU114" s="4"/>
    </row>
    <row r="115" spans="1:49" s="14" customFormat="1" x14ac:dyDescent="0.25">
      <c r="A115" s="32">
        <v>111</v>
      </c>
      <c r="B115" s="13" t="s">
        <v>21</v>
      </c>
      <c r="C115" s="9"/>
      <c r="D115" s="9" t="s">
        <v>1099</v>
      </c>
      <c r="E115" s="9" t="s">
        <v>1098</v>
      </c>
      <c r="F115" s="34" t="s">
        <v>1093</v>
      </c>
      <c r="G115" s="6" t="s">
        <v>558</v>
      </c>
      <c r="H115" s="33">
        <v>421302</v>
      </c>
      <c r="I115" s="35">
        <v>110</v>
      </c>
      <c r="J115" s="90" t="str">
        <f>VLOOKUP(I115,'[1]M2 Trip Matrix'!$AB$3:$AC$8,2,1)</f>
        <v>110-130</v>
      </c>
      <c r="K115" s="91">
        <f t="shared" si="88"/>
        <v>10159.810450732197</v>
      </c>
      <c r="L115" s="2">
        <v>35</v>
      </c>
      <c r="M115" s="35" t="str">
        <f>VLOOKUP(L115,'[1]M2 Trip Matrix'!$AB$3:$AC$8,2,1)</f>
        <v>31-50</v>
      </c>
      <c r="N115" s="36">
        <f t="shared" si="87"/>
        <v>5073.1976040297868</v>
      </c>
      <c r="O115" s="51">
        <v>37</v>
      </c>
      <c r="P115" s="51" t="str">
        <f t="shared" si="60"/>
        <v>31-50</v>
      </c>
      <c r="Q115" s="51">
        <f t="shared" si="56"/>
        <v>5073.1976040297868</v>
      </c>
      <c r="R115" s="49">
        <v>35</v>
      </c>
      <c r="S115" s="49" t="str">
        <f t="shared" si="57"/>
        <v>31-50</v>
      </c>
      <c r="T115" s="49">
        <f t="shared" si="58"/>
        <v>5073.1976040297868</v>
      </c>
      <c r="U115" s="50">
        <v>33</v>
      </c>
      <c r="V115" s="50" t="str">
        <f t="shared" si="61"/>
        <v>31-50</v>
      </c>
      <c r="W115" s="50">
        <f t="shared" si="59"/>
        <v>5073.1976040297868</v>
      </c>
      <c r="X115" s="143" t="s">
        <v>1458</v>
      </c>
      <c r="Y115" s="143" t="e">
        <f t="shared" si="62"/>
        <v>#N/A</v>
      </c>
      <c r="Z115" s="143" t="e">
        <f t="shared" si="63"/>
        <v>#N/A</v>
      </c>
      <c r="AA115" s="116"/>
      <c r="AB115" s="114" t="str">
        <f t="shared" si="64"/>
        <v>0-20</v>
      </c>
      <c r="AC115" s="114">
        <f t="shared" si="65"/>
        <v>3844.3574443810608</v>
      </c>
      <c r="AD115" s="129"/>
      <c r="AE115" s="129" t="str">
        <f t="shared" si="75"/>
        <v>0-20</v>
      </c>
      <c r="AF115" s="129">
        <f t="shared" si="76"/>
        <v>3844.3574443810608</v>
      </c>
      <c r="AG115" s="138">
        <v>75</v>
      </c>
      <c r="AH115" s="138" t="str">
        <f t="shared" si="83"/>
        <v>51-80</v>
      </c>
      <c r="AI115" s="138">
        <f t="shared" si="84"/>
        <v>6509</v>
      </c>
      <c r="AJ115" s="36"/>
      <c r="AK115" s="36"/>
      <c r="AL115" s="37"/>
      <c r="AM115" s="79"/>
      <c r="AN115" s="79"/>
      <c r="AO115" s="79"/>
      <c r="AP115" s="133"/>
      <c r="AQ115" s="133" t="str">
        <f t="shared" si="68"/>
        <v>0-20</v>
      </c>
      <c r="AR115" s="133">
        <f t="shared" si="69"/>
        <v>3844.3574443810608</v>
      </c>
      <c r="AS115" s="131"/>
      <c r="AT115" s="131"/>
      <c r="AU115" s="4"/>
    </row>
    <row r="116" spans="1:49" s="14" customFormat="1" x14ac:dyDescent="0.25">
      <c r="A116" s="32"/>
      <c r="B116" s="13"/>
      <c r="C116" s="9"/>
      <c r="D116" s="9" t="s">
        <v>1151</v>
      </c>
      <c r="E116" s="9" t="s">
        <v>1150</v>
      </c>
      <c r="F116" s="34" t="s">
        <v>1152</v>
      </c>
      <c r="G116" s="6" t="s">
        <v>558</v>
      </c>
      <c r="H116" s="33">
        <v>421302</v>
      </c>
      <c r="I116" s="35">
        <v>110</v>
      </c>
      <c r="J116" s="90" t="str">
        <f>VLOOKUP(I116,'[1]M2 Trip Matrix'!$AB$3:$AC$8,2,1)</f>
        <v>110-130</v>
      </c>
      <c r="K116" s="91">
        <f t="shared" si="88"/>
        <v>10159.810450732197</v>
      </c>
      <c r="L116" s="2">
        <v>35</v>
      </c>
      <c r="M116" s="35" t="str">
        <f>VLOOKUP(L116,'[1]M2 Trip Matrix'!$AB$3:$AC$8,2,1)</f>
        <v>31-50</v>
      </c>
      <c r="N116" s="36">
        <f t="shared" si="87"/>
        <v>5073.1976040297868</v>
      </c>
      <c r="O116" s="51">
        <v>37</v>
      </c>
      <c r="P116" s="51" t="str">
        <f t="shared" si="60"/>
        <v>31-50</v>
      </c>
      <c r="Q116" s="51">
        <f t="shared" si="56"/>
        <v>5073.1976040297868</v>
      </c>
      <c r="R116" s="49">
        <v>35</v>
      </c>
      <c r="S116" s="49" t="str">
        <f t="shared" si="57"/>
        <v>31-50</v>
      </c>
      <c r="T116" s="49">
        <f t="shared" si="58"/>
        <v>5073.1976040297868</v>
      </c>
      <c r="U116" s="50">
        <v>33</v>
      </c>
      <c r="V116" s="50" t="str">
        <f t="shared" si="61"/>
        <v>31-50</v>
      </c>
      <c r="W116" s="50">
        <f t="shared" si="59"/>
        <v>5073.1976040297868</v>
      </c>
      <c r="X116" s="143">
        <v>10</v>
      </c>
      <c r="Y116" s="143" t="str">
        <f t="shared" si="62"/>
        <v>0-20</v>
      </c>
      <c r="Z116" s="143">
        <f t="shared" si="63"/>
        <v>3844.3574443810608</v>
      </c>
      <c r="AA116" s="116">
        <v>50</v>
      </c>
      <c r="AB116" s="114" t="str">
        <f t="shared" si="64"/>
        <v>31-50</v>
      </c>
      <c r="AC116" s="114">
        <f t="shared" si="65"/>
        <v>5073.1976040297868</v>
      </c>
      <c r="AD116" s="129">
        <v>25</v>
      </c>
      <c r="AE116" s="129" t="str">
        <f t="shared" si="75"/>
        <v>21-30</v>
      </c>
      <c r="AF116" s="129">
        <f t="shared" si="76"/>
        <v>4508.6394748902885</v>
      </c>
      <c r="AG116" s="138">
        <v>75</v>
      </c>
      <c r="AH116" s="138" t="str">
        <f t="shared" si="83"/>
        <v>51-80</v>
      </c>
      <c r="AI116" s="138">
        <f t="shared" si="84"/>
        <v>6509</v>
      </c>
      <c r="AJ116" s="36"/>
      <c r="AK116" s="36"/>
      <c r="AL116" s="37"/>
      <c r="AM116" s="79"/>
      <c r="AN116" s="79"/>
      <c r="AO116" s="79"/>
      <c r="AP116" s="133"/>
      <c r="AQ116" s="133" t="str">
        <f t="shared" si="68"/>
        <v>0-20</v>
      </c>
      <c r="AR116" s="133">
        <f t="shared" si="69"/>
        <v>3844.3574443810608</v>
      </c>
      <c r="AS116" s="131"/>
      <c r="AT116" s="131"/>
      <c r="AU116" s="4"/>
    </row>
    <row r="117" spans="1:49" x14ac:dyDescent="0.25">
      <c r="A117" s="32">
        <v>112</v>
      </c>
      <c r="B117" s="13" t="s">
        <v>21</v>
      </c>
      <c r="C117" s="11" t="s">
        <v>327</v>
      </c>
      <c r="D117" s="10">
        <v>0</v>
      </c>
      <c r="E117" s="11" t="s">
        <v>328</v>
      </c>
      <c r="F117" s="34" t="s">
        <v>329</v>
      </c>
      <c r="G117" s="6" t="s">
        <v>330</v>
      </c>
      <c r="H117" s="33">
        <v>400604</v>
      </c>
      <c r="I117" s="90">
        <v>111</v>
      </c>
      <c r="J117" s="90" t="str">
        <f t="shared" ref="J117:J141" si="89">VLOOKUP(I117,$AV$4:$AW$9,2,1)</f>
        <v>110-130</v>
      </c>
      <c r="K117" s="91">
        <f t="shared" si="88"/>
        <v>10159.810450732197</v>
      </c>
      <c r="L117" s="35">
        <v>20</v>
      </c>
      <c r="M117" s="35" t="str">
        <f t="shared" ref="M117:M141" si="90">VLOOKUP(L117,$AV$4:$AW$9,2,1)</f>
        <v>0-20</v>
      </c>
      <c r="N117" s="36">
        <f t="shared" si="87"/>
        <v>3844.3574443810608</v>
      </c>
      <c r="O117" s="51">
        <v>39</v>
      </c>
      <c r="P117" s="51" t="str">
        <f t="shared" si="60"/>
        <v>31-50</v>
      </c>
      <c r="Q117" s="51">
        <f t="shared" si="56"/>
        <v>5073.1976040297868</v>
      </c>
      <c r="R117" s="49">
        <v>24</v>
      </c>
      <c r="S117" s="49" t="str">
        <f t="shared" si="57"/>
        <v>21-30</v>
      </c>
      <c r="T117" s="49">
        <f t="shared" si="58"/>
        <v>4508.6394748902885</v>
      </c>
      <c r="U117" s="50">
        <v>24</v>
      </c>
      <c r="V117" s="50" t="str">
        <f t="shared" si="61"/>
        <v>21-30</v>
      </c>
      <c r="W117" s="50">
        <f t="shared" si="59"/>
        <v>4508.6394748902885</v>
      </c>
      <c r="X117" s="143" t="s">
        <v>1458</v>
      </c>
      <c r="Y117" s="143" t="e">
        <f t="shared" si="62"/>
        <v>#N/A</v>
      </c>
      <c r="Z117" s="143" t="e">
        <f t="shared" si="63"/>
        <v>#N/A</v>
      </c>
      <c r="AA117" s="116"/>
      <c r="AB117" s="114" t="str">
        <f t="shared" si="64"/>
        <v>0-20</v>
      </c>
      <c r="AC117" s="114">
        <f t="shared" si="65"/>
        <v>3844.3574443810608</v>
      </c>
      <c r="AD117" s="129"/>
      <c r="AE117" s="129" t="str">
        <f t="shared" si="75"/>
        <v>0-20</v>
      </c>
      <c r="AF117" s="129">
        <f t="shared" si="76"/>
        <v>3844.3574443810608</v>
      </c>
      <c r="AG117" s="138">
        <v>88</v>
      </c>
      <c r="AH117" s="138" t="str">
        <f t="shared" si="83"/>
        <v>81-110</v>
      </c>
      <c r="AI117" s="138">
        <f t="shared" si="84"/>
        <v>8747.8561594387575</v>
      </c>
      <c r="AJ117" s="36">
        <v>26</v>
      </c>
      <c r="AK117" s="36" t="str">
        <f>VLOOKUP(AJ117,$AV$3:$AW$9,2,1)</f>
        <v>21-30</v>
      </c>
      <c r="AL117" s="37">
        <f>VLOOKUP(AK117,$AW$3:$AX$9,2,0)</f>
        <v>4508.6394748902885</v>
      </c>
      <c r="AM117" s="37"/>
      <c r="AN117" s="3" t="str">
        <f>VLOOKUP(AM117,$AV$4:$AW$9,2,1)</f>
        <v>0-20</v>
      </c>
      <c r="AO117" s="119">
        <f>VLOOKUP(AN117,$AW$3:$AX$9,2,0)</f>
        <v>3844.3574443810608</v>
      </c>
      <c r="AP117" s="133"/>
      <c r="AQ117" s="133" t="str">
        <f t="shared" si="68"/>
        <v>0-20</v>
      </c>
      <c r="AR117" s="133">
        <f t="shared" si="69"/>
        <v>3844.3574443810608</v>
      </c>
      <c r="AS117" s="131"/>
      <c r="AT117" s="131"/>
      <c r="AU117" s="41"/>
      <c r="AV117" s="41"/>
      <c r="AW117" s="41"/>
    </row>
    <row r="118" spans="1:49" x14ac:dyDescent="0.25">
      <c r="A118" s="32">
        <v>113</v>
      </c>
      <c r="B118" s="13" t="s">
        <v>21</v>
      </c>
      <c r="C118" s="11" t="s">
        <v>331</v>
      </c>
      <c r="D118" s="10" t="s">
        <v>973</v>
      </c>
      <c r="E118" s="11" t="s">
        <v>332</v>
      </c>
      <c r="F118" s="34" t="s">
        <v>333</v>
      </c>
      <c r="G118" s="6" t="s">
        <v>41</v>
      </c>
      <c r="H118" s="33">
        <v>400701</v>
      </c>
      <c r="I118" s="90">
        <v>99</v>
      </c>
      <c r="J118" s="90" t="str">
        <f t="shared" si="89"/>
        <v>81-110</v>
      </c>
      <c r="K118" s="91">
        <f t="shared" si="88"/>
        <v>8747.8561594387575</v>
      </c>
      <c r="L118" s="99">
        <v>15</v>
      </c>
      <c r="M118" s="99" t="str">
        <f t="shared" si="90"/>
        <v>0-20</v>
      </c>
      <c r="N118" s="100">
        <f t="shared" si="87"/>
        <v>3844.3574443810608</v>
      </c>
      <c r="O118" s="51">
        <v>47.9</v>
      </c>
      <c r="P118" s="51" t="str">
        <f t="shared" si="60"/>
        <v>31-50</v>
      </c>
      <c r="Q118" s="51">
        <f t="shared" si="56"/>
        <v>5073.1976040297868</v>
      </c>
      <c r="R118" s="49">
        <v>25</v>
      </c>
      <c r="S118" s="49" t="str">
        <f t="shared" si="57"/>
        <v>21-30</v>
      </c>
      <c r="T118" s="49">
        <f t="shared" si="58"/>
        <v>4508.6394748902885</v>
      </c>
      <c r="U118" s="50">
        <v>26</v>
      </c>
      <c r="V118" s="50" t="str">
        <f t="shared" si="61"/>
        <v>21-30</v>
      </c>
      <c r="W118" s="50">
        <f t="shared" si="59"/>
        <v>4508.6394748902885</v>
      </c>
      <c r="X118" s="143">
        <v>40</v>
      </c>
      <c r="Y118" s="143" t="str">
        <f t="shared" si="62"/>
        <v>31-50</v>
      </c>
      <c r="Z118" s="143">
        <f t="shared" si="63"/>
        <v>5073.1976040297868</v>
      </c>
      <c r="AA118" s="116"/>
      <c r="AB118" s="114" t="str">
        <f t="shared" si="64"/>
        <v>0-20</v>
      </c>
      <c r="AC118" s="114">
        <f t="shared" si="65"/>
        <v>3844.3574443810608</v>
      </c>
      <c r="AD118" s="129"/>
      <c r="AE118" s="129" t="str">
        <f t="shared" si="75"/>
        <v>0-20</v>
      </c>
      <c r="AF118" s="129">
        <f t="shared" si="76"/>
        <v>3844.3574443810608</v>
      </c>
      <c r="AG118" s="138">
        <v>96</v>
      </c>
      <c r="AH118" s="138" t="str">
        <f t="shared" si="83"/>
        <v>81-110</v>
      </c>
      <c r="AI118" s="138">
        <f t="shared" si="84"/>
        <v>8747.8561594387575</v>
      </c>
      <c r="AJ118" s="36">
        <v>24</v>
      </c>
      <c r="AK118" s="36" t="str">
        <f>VLOOKUP(AJ118,$AV$3:$AW$9,2,1)</f>
        <v>21-30</v>
      </c>
      <c r="AL118" s="37">
        <f>VLOOKUP(AK118,$AW$3:$AX$9,2,0)</f>
        <v>4508.6394748902885</v>
      </c>
      <c r="AM118" s="37">
        <v>56</v>
      </c>
      <c r="AN118" s="3" t="str">
        <f>VLOOKUP(AM118,$AV$4:$AW$9,2,1)</f>
        <v>51-80</v>
      </c>
      <c r="AO118" s="119">
        <f>VLOOKUP(AN118,$AW$3:$AX$9,2,0)</f>
        <v>6509</v>
      </c>
      <c r="AP118" s="133"/>
      <c r="AQ118" s="133" t="str">
        <f t="shared" si="68"/>
        <v>0-20</v>
      </c>
      <c r="AR118" s="133">
        <f t="shared" si="69"/>
        <v>3844.3574443810608</v>
      </c>
      <c r="AS118" s="131"/>
      <c r="AT118" s="131"/>
      <c r="AU118" s="41"/>
      <c r="AV118" s="41"/>
      <c r="AW118" s="41"/>
    </row>
    <row r="119" spans="1:49" x14ac:dyDescent="0.25">
      <c r="A119" s="32">
        <v>114</v>
      </c>
      <c r="B119" s="13" t="s">
        <v>21</v>
      </c>
      <c r="C119" s="11" t="s">
        <v>331</v>
      </c>
      <c r="D119" s="10" t="s">
        <v>973</v>
      </c>
      <c r="E119" s="105" t="s">
        <v>332</v>
      </c>
      <c r="F119" s="34" t="s">
        <v>879</v>
      </c>
      <c r="G119" s="6" t="s">
        <v>480</v>
      </c>
      <c r="H119" s="33">
        <v>410206</v>
      </c>
      <c r="I119" s="90">
        <v>88</v>
      </c>
      <c r="J119" s="90" t="str">
        <f t="shared" si="89"/>
        <v>81-110</v>
      </c>
      <c r="K119" s="91">
        <f t="shared" si="88"/>
        <v>8747.8561594387575</v>
      </c>
      <c r="L119" s="99">
        <v>45</v>
      </c>
      <c r="M119" s="99" t="str">
        <f t="shared" si="90"/>
        <v>31-50</v>
      </c>
      <c r="N119" s="100">
        <f t="shared" si="87"/>
        <v>5073.1976040297868</v>
      </c>
      <c r="O119" s="51">
        <v>82</v>
      </c>
      <c r="P119" s="51" t="str">
        <f t="shared" si="60"/>
        <v>81-110</v>
      </c>
      <c r="Q119" s="51">
        <f t="shared" si="56"/>
        <v>8747.8561594387575</v>
      </c>
      <c r="R119" s="49">
        <v>47</v>
      </c>
      <c r="S119" s="49" t="str">
        <f t="shared" si="57"/>
        <v>31-50</v>
      </c>
      <c r="T119" s="49">
        <f t="shared" si="58"/>
        <v>5073.1976040297868</v>
      </c>
      <c r="U119" s="50">
        <v>46</v>
      </c>
      <c r="V119" s="50" t="str">
        <f t="shared" si="61"/>
        <v>31-50</v>
      </c>
      <c r="W119" s="50">
        <f t="shared" si="59"/>
        <v>5073.1976040297868</v>
      </c>
      <c r="X119" s="143">
        <v>40</v>
      </c>
      <c r="Y119" s="143" t="str">
        <f t="shared" si="62"/>
        <v>31-50</v>
      </c>
      <c r="Z119" s="143">
        <f t="shared" si="63"/>
        <v>5073.1976040297868</v>
      </c>
      <c r="AA119" s="116"/>
      <c r="AB119" s="114" t="str">
        <f t="shared" si="64"/>
        <v>0-20</v>
      </c>
      <c r="AC119" s="114">
        <f t="shared" si="65"/>
        <v>3844.3574443810608</v>
      </c>
      <c r="AD119" s="129"/>
      <c r="AE119" s="129" t="str">
        <f t="shared" si="75"/>
        <v>0-20</v>
      </c>
      <c r="AF119" s="129">
        <f t="shared" si="76"/>
        <v>3844.3574443810608</v>
      </c>
      <c r="AG119" s="139">
        <v>106</v>
      </c>
      <c r="AH119" s="138" t="str">
        <f t="shared" si="83"/>
        <v>81-110</v>
      </c>
      <c r="AI119" s="138">
        <f t="shared" si="84"/>
        <v>8747.8561594387575</v>
      </c>
      <c r="AJ119" s="36"/>
      <c r="AK119" s="36"/>
      <c r="AL119" s="37"/>
      <c r="AM119" s="37"/>
      <c r="AN119" s="3"/>
      <c r="AO119" s="119"/>
      <c r="AP119" s="133"/>
      <c r="AQ119" s="133" t="str">
        <f t="shared" si="68"/>
        <v>0-20</v>
      </c>
      <c r="AR119" s="133">
        <f t="shared" si="69"/>
        <v>3844.3574443810608</v>
      </c>
      <c r="AS119" s="131"/>
      <c r="AT119" s="131"/>
      <c r="AU119" s="41"/>
      <c r="AV119" s="41"/>
      <c r="AW119" s="41"/>
    </row>
    <row r="120" spans="1:49" x14ac:dyDescent="0.25">
      <c r="A120" s="32">
        <v>115</v>
      </c>
      <c r="B120" s="13" t="s">
        <v>21</v>
      </c>
      <c r="C120" s="11" t="s">
        <v>334</v>
      </c>
      <c r="D120" s="10">
        <v>0</v>
      </c>
      <c r="E120" s="11" t="s">
        <v>335</v>
      </c>
      <c r="F120" s="34" t="s">
        <v>336</v>
      </c>
      <c r="G120" s="6" t="s">
        <v>46</v>
      </c>
      <c r="H120" s="33">
        <v>421301</v>
      </c>
      <c r="I120" s="90">
        <v>109</v>
      </c>
      <c r="J120" s="90" t="str">
        <f t="shared" si="89"/>
        <v>81-110</v>
      </c>
      <c r="K120" s="91">
        <f t="shared" si="88"/>
        <v>8747.8561594387575</v>
      </c>
      <c r="L120" s="35">
        <v>22</v>
      </c>
      <c r="M120" s="35" t="str">
        <f t="shared" si="90"/>
        <v>21-30</v>
      </c>
      <c r="N120" s="36">
        <f t="shared" si="87"/>
        <v>4508.6394748902885</v>
      </c>
      <c r="O120" s="51">
        <v>45.8</v>
      </c>
      <c r="P120" s="51" t="str">
        <f t="shared" si="60"/>
        <v>31-50</v>
      </c>
      <c r="Q120" s="51">
        <f t="shared" si="56"/>
        <v>5073.1976040297868</v>
      </c>
      <c r="R120" s="49">
        <v>45</v>
      </c>
      <c r="S120" s="49" t="str">
        <f t="shared" si="57"/>
        <v>31-50</v>
      </c>
      <c r="T120" s="49">
        <f t="shared" si="58"/>
        <v>5073.1976040297868</v>
      </c>
      <c r="U120" s="50">
        <v>38</v>
      </c>
      <c r="V120" s="50" t="str">
        <f t="shared" si="61"/>
        <v>31-50</v>
      </c>
      <c r="W120" s="50">
        <f t="shared" si="59"/>
        <v>5073.1976040297868</v>
      </c>
      <c r="X120" s="143" t="s">
        <v>1458</v>
      </c>
      <c r="Y120" s="143" t="e">
        <f t="shared" si="62"/>
        <v>#N/A</v>
      </c>
      <c r="Z120" s="143" t="e">
        <f t="shared" si="63"/>
        <v>#N/A</v>
      </c>
      <c r="AA120" s="116"/>
      <c r="AB120" s="114" t="str">
        <f t="shared" si="64"/>
        <v>0-20</v>
      </c>
      <c r="AC120" s="114">
        <f t="shared" si="65"/>
        <v>3844.3574443810608</v>
      </c>
      <c r="AD120" s="129"/>
      <c r="AE120" s="129" t="str">
        <f t="shared" si="75"/>
        <v>0-20</v>
      </c>
      <c r="AF120" s="129">
        <f t="shared" si="76"/>
        <v>3844.3574443810608</v>
      </c>
      <c r="AG120" s="138">
        <v>80</v>
      </c>
      <c r="AH120" s="138" t="str">
        <f t="shared" si="83"/>
        <v>51-80</v>
      </c>
      <c r="AI120" s="138">
        <f t="shared" si="84"/>
        <v>6509</v>
      </c>
      <c r="AJ120" s="36">
        <v>46</v>
      </c>
      <c r="AK120" s="36" t="str">
        <f>VLOOKUP(AJ120,$AV$3:$AW$9,2,1)</f>
        <v>31-50</v>
      </c>
      <c r="AL120" s="37">
        <f>VLOOKUP(AK120,$AW$3:$AX$9,2,0)</f>
        <v>5073.1976040297868</v>
      </c>
      <c r="AM120" s="37"/>
      <c r="AN120" s="3" t="str">
        <f t="shared" ref="AN120:AN133" si="91">VLOOKUP(AM120,$AV$4:$AW$9,2,1)</f>
        <v>0-20</v>
      </c>
      <c r="AO120" s="119">
        <f t="shared" ref="AO120:AO133" si="92">VLOOKUP(AN120,$AW$3:$AX$9,2,0)</f>
        <v>3844.3574443810608</v>
      </c>
      <c r="AP120" s="133"/>
      <c r="AQ120" s="133" t="str">
        <f t="shared" si="68"/>
        <v>0-20</v>
      </c>
      <c r="AR120" s="133">
        <f t="shared" si="69"/>
        <v>3844.3574443810608</v>
      </c>
      <c r="AS120" s="131"/>
      <c r="AT120" s="131"/>
      <c r="AU120" s="41"/>
      <c r="AV120" s="41"/>
      <c r="AW120" s="41"/>
    </row>
    <row r="121" spans="1:49" x14ac:dyDescent="0.25">
      <c r="A121" s="32">
        <v>116</v>
      </c>
      <c r="B121" s="13" t="s">
        <v>21</v>
      </c>
      <c r="C121" s="11" t="s">
        <v>337</v>
      </c>
      <c r="D121" s="10" t="s">
        <v>974</v>
      </c>
      <c r="E121" s="11" t="s">
        <v>338</v>
      </c>
      <c r="F121" s="34" t="s">
        <v>339</v>
      </c>
      <c r="G121" s="6" t="s">
        <v>340</v>
      </c>
      <c r="H121" s="33">
        <v>421302</v>
      </c>
      <c r="I121" s="90">
        <v>113</v>
      </c>
      <c r="J121" s="90" t="str">
        <f t="shared" si="89"/>
        <v>110-130</v>
      </c>
      <c r="K121" s="91">
        <f t="shared" si="88"/>
        <v>10159.810450732197</v>
      </c>
      <c r="L121" s="35">
        <v>12</v>
      </c>
      <c r="M121" s="35" t="str">
        <f t="shared" si="90"/>
        <v>0-20</v>
      </c>
      <c r="N121" s="36">
        <f t="shared" si="87"/>
        <v>3844.3574443810608</v>
      </c>
      <c r="O121" s="51">
        <v>40</v>
      </c>
      <c r="P121" s="51" t="str">
        <f t="shared" si="60"/>
        <v>31-50</v>
      </c>
      <c r="Q121" s="51">
        <f t="shared" si="56"/>
        <v>5073.1976040297868</v>
      </c>
      <c r="R121" s="49">
        <v>30</v>
      </c>
      <c r="S121" s="49" t="str">
        <f t="shared" si="57"/>
        <v>21-30</v>
      </c>
      <c r="T121" s="49">
        <f t="shared" si="58"/>
        <v>4508.6394748902885</v>
      </c>
      <c r="U121" s="50">
        <v>28</v>
      </c>
      <c r="V121" s="50" t="str">
        <f t="shared" si="61"/>
        <v>21-30</v>
      </c>
      <c r="W121" s="50">
        <f t="shared" si="59"/>
        <v>4508.6394748902885</v>
      </c>
      <c r="X121" s="143">
        <v>23</v>
      </c>
      <c r="Y121" s="143" t="str">
        <f t="shared" si="62"/>
        <v>21-30</v>
      </c>
      <c r="Z121" s="143">
        <f t="shared" si="63"/>
        <v>4508.6394748902885</v>
      </c>
      <c r="AA121" s="116"/>
      <c r="AB121" s="114" t="str">
        <f t="shared" si="64"/>
        <v>0-20</v>
      </c>
      <c r="AC121" s="114">
        <f t="shared" si="65"/>
        <v>3844.3574443810608</v>
      </c>
      <c r="AD121" s="129"/>
      <c r="AE121" s="129" t="str">
        <f t="shared" si="75"/>
        <v>0-20</v>
      </c>
      <c r="AF121" s="129">
        <f t="shared" si="76"/>
        <v>3844.3574443810608</v>
      </c>
      <c r="AG121" s="138">
        <v>75</v>
      </c>
      <c r="AH121" s="138" t="str">
        <f t="shared" si="83"/>
        <v>51-80</v>
      </c>
      <c r="AI121" s="138">
        <f t="shared" si="84"/>
        <v>6509</v>
      </c>
      <c r="AJ121" s="36">
        <v>50</v>
      </c>
      <c r="AK121" s="36" t="str">
        <f>VLOOKUP(AJ121,$AV$3:$AW$9,2,1)</f>
        <v>31-50</v>
      </c>
      <c r="AL121" s="37">
        <f>VLOOKUP(AK121,$AW$3:$AX$9,2,0)</f>
        <v>5073.1976040297868</v>
      </c>
      <c r="AM121" s="37"/>
      <c r="AN121" s="3" t="str">
        <f t="shared" si="91"/>
        <v>0-20</v>
      </c>
      <c r="AO121" s="119">
        <f t="shared" si="92"/>
        <v>3844.3574443810608</v>
      </c>
      <c r="AP121" s="133"/>
      <c r="AQ121" s="133" t="str">
        <f t="shared" si="68"/>
        <v>0-20</v>
      </c>
      <c r="AR121" s="133">
        <f t="shared" si="69"/>
        <v>3844.3574443810608</v>
      </c>
      <c r="AS121" s="131"/>
      <c r="AT121" s="131"/>
      <c r="AU121" s="41"/>
      <c r="AV121" s="41"/>
      <c r="AW121" s="41"/>
    </row>
    <row r="122" spans="1:49" x14ac:dyDescent="0.25">
      <c r="A122" s="32">
        <v>117</v>
      </c>
      <c r="B122" s="13" t="s">
        <v>21</v>
      </c>
      <c r="C122" s="11" t="s">
        <v>468</v>
      </c>
      <c r="D122" s="10">
        <v>0</v>
      </c>
      <c r="E122" s="11" t="s">
        <v>469</v>
      </c>
      <c r="F122" s="34" t="s">
        <v>470</v>
      </c>
      <c r="G122" s="6" t="s">
        <v>471</v>
      </c>
      <c r="H122" s="33">
        <v>410206</v>
      </c>
      <c r="I122" s="90">
        <v>90</v>
      </c>
      <c r="J122" s="90" t="str">
        <f t="shared" si="89"/>
        <v>81-110</v>
      </c>
      <c r="K122" s="91">
        <f t="shared" si="88"/>
        <v>8747.8561594387575</v>
      </c>
      <c r="L122" s="35">
        <v>35</v>
      </c>
      <c r="M122" s="35" t="str">
        <f t="shared" si="90"/>
        <v>31-50</v>
      </c>
      <c r="N122" s="36">
        <f t="shared" si="87"/>
        <v>5073.1976040297868</v>
      </c>
      <c r="O122" s="51">
        <v>65</v>
      </c>
      <c r="P122" s="51" t="str">
        <f t="shared" si="60"/>
        <v>51-80</v>
      </c>
      <c r="Q122" s="51">
        <f t="shared" si="56"/>
        <v>6509</v>
      </c>
      <c r="R122" s="49">
        <v>56</v>
      </c>
      <c r="S122" s="49" t="str">
        <f t="shared" si="57"/>
        <v>51-80</v>
      </c>
      <c r="T122" s="49">
        <f t="shared" si="58"/>
        <v>6509</v>
      </c>
      <c r="U122" s="50">
        <v>39</v>
      </c>
      <c r="V122" s="50" t="str">
        <f t="shared" si="61"/>
        <v>31-50</v>
      </c>
      <c r="W122" s="50">
        <f t="shared" si="59"/>
        <v>5073.1976040297868</v>
      </c>
      <c r="X122" s="143" t="s">
        <v>1458</v>
      </c>
      <c r="Y122" s="143" t="e">
        <f t="shared" si="62"/>
        <v>#N/A</v>
      </c>
      <c r="Z122" s="143" t="e">
        <f t="shared" si="63"/>
        <v>#N/A</v>
      </c>
      <c r="AA122" s="116"/>
      <c r="AB122" s="114" t="str">
        <f t="shared" si="64"/>
        <v>0-20</v>
      </c>
      <c r="AC122" s="114">
        <f t="shared" si="65"/>
        <v>3844.3574443810608</v>
      </c>
      <c r="AD122" s="129"/>
      <c r="AE122" s="129" t="str">
        <f t="shared" si="75"/>
        <v>0-20</v>
      </c>
      <c r="AF122" s="129">
        <f t="shared" si="76"/>
        <v>3844.3574443810608</v>
      </c>
      <c r="AG122" s="139">
        <v>106</v>
      </c>
      <c r="AH122" s="138" t="str">
        <f t="shared" si="83"/>
        <v>81-110</v>
      </c>
      <c r="AI122" s="138">
        <f t="shared" si="84"/>
        <v>8747.8561594387575</v>
      </c>
      <c r="AJ122" s="36">
        <v>32</v>
      </c>
      <c r="AK122" s="36" t="str">
        <f>VLOOKUP(AJ122,$AV$3:$AW$9,2,1)</f>
        <v>31-50</v>
      </c>
      <c r="AL122" s="37">
        <f>VLOOKUP(AK122,$AW$3:$AX$9,2,0)</f>
        <v>5073.1976040297868</v>
      </c>
      <c r="AM122" s="84">
        <v>43</v>
      </c>
      <c r="AN122" s="85" t="str">
        <f t="shared" si="91"/>
        <v>31-50</v>
      </c>
      <c r="AO122" s="122">
        <f t="shared" si="92"/>
        <v>5073.1976040297868</v>
      </c>
      <c r="AP122" s="133"/>
      <c r="AQ122" s="133" t="str">
        <f t="shared" si="68"/>
        <v>0-20</v>
      </c>
      <c r="AR122" s="133">
        <f t="shared" si="69"/>
        <v>3844.3574443810608</v>
      </c>
      <c r="AS122" s="131"/>
      <c r="AT122" s="131"/>
      <c r="AU122" s="41"/>
      <c r="AV122" s="41"/>
      <c r="AW122" s="41"/>
    </row>
    <row r="123" spans="1:49" x14ac:dyDescent="0.25">
      <c r="A123" s="32">
        <v>118</v>
      </c>
      <c r="B123" s="13" t="s">
        <v>21</v>
      </c>
      <c r="C123" s="11" t="s">
        <v>341</v>
      </c>
      <c r="D123" s="10" t="s">
        <v>975</v>
      </c>
      <c r="E123" s="11" t="s">
        <v>342</v>
      </c>
      <c r="F123" s="34" t="s">
        <v>343</v>
      </c>
      <c r="G123" s="6" t="s">
        <v>344</v>
      </c>
      <c r="H123" s="33">
        <v>421503</v>
      </c>
      <c r="I123" s="90">
        <v>94</v>
      </c>
      <c r="J123" s="90" t="str">
        <f t="shared" si="89"/>
        <v>81-110</v>
      </c>
      <c r="K123" s="91">
        <f t="shared" si="88"/>
        <v>8747.8561594387575</v>
      </c>
      <c r="L123" s="99">
        <v>44</v>
      </c>
      <c r="M123" s="99" t="str">
        <f t="shared" si="90"/>
        <v>31-50</v>
      </c>
      <c r="N123" s="100">
        <f t="shared" si="87"/>
        <v>5073.1976040297868</v>
      </c>
      <c r="O123" s="51">
        <v>60</v>
      </c>
      <c r="P123" s="51" t="str">
        <f t="shared" si="60"/>
        <v>51-80</v>
      </c>
      <c r="Q123" s="51">
        <f t="shared" si="56"/>
        <v>6509</v>
      </c>
      <c r="R123" s="49">
        <v>55</v>
      </c>
      <c r="S123" s="49" t="str">
        <f t="shared" si="57"/>
        <v>51-80</v>
      </c>
      <c r="T123" s="49">
        <f t="shared" si="58"/>
        <v>6509</v>
      </c>
      <c r="U123" s="50">
        <v>52</v>
      </c>
      <c r="V123" s="50" t="str">
        <f t="shared" si="61"/>
        <v>51-80</v>
      </c>
      <c r="W123" s="50">
        <f t="shared" si="59"/>
        <v>6509</v>
      </c>
      <c r="X123" s="143" t="s">
        <v>1458</v>
      </c>
      <c r="Y123" s="143" t="e">
        <f t="shared" si="62"/>
        <v>#N/A</v>
      </c>
      <c r="Z123" s="143" t="e">
        <f t="shared" si="63"/>
        <v>#N/A</v>
      </c>
      <c r="AA123" s="116"/>
      <c r="AB123" s="114" t="str">
        <f t="shared" si="64"/>
        <v>0-20</v>
      </c>
      <c r="AC123" s="114">
        <f t="shared" si="65"/>
        <v>3844.3574443810608</v>
      </c>
      <c r="AD123" s="129"/>
      <c r="AE123" s="129" t="str">
        <f t="shared" si="75"/>
        <v>0-20</v>
      </c>
      <c r="AF123" s="129">
        <f t="shared" si="76"/>
        <v>3844.3574443810608</v>
      </c>
      <c r="AG123" s="138">
        <v>88</v>
      </c>
      <c r="AH123" s="138" t="str">
        <f t="shared" si="83"/>
        <v>81-110</v>
      </c>
      <c r="AI123" s="138">
        <f t="shared" si="84"/>
        <v>8747.8561594387575</v>
      </c>
      <c r="AJ123" s="36">
        <v>51</v>
      </c>
      <c r="AK123" s="36" t="str">
        <f>VLOOKUP(AJ123,$AV$3:$AW$9,2,1)</f>
        <v>51-80</v>
      </c>
      <c r="AL123" s="37">
        <f>VLOOKUP(AK123,$AW$3:$AX$9,2,0)</f>
        <v>6509</v>
      </c>
      <c r="AM123" s="37"/>
      <c r="AN123" s="3" t="str">
        <f t="shared" si="91"/>
        <v>0-20</v>
      </c>
      <c r="AO123" s="119">
        <f t="shared" si="92"/>
        <v>3844.3574443810608</v>
      </c>
      <c r="AP123" s="133"/>
      <c r="AQ123" s="133" t="str">
        <f t="shared" si="68"/>
        <v>0-20</v>
      </c>
      <c r="AR123" s="133">
        <f t="shared" si="69"/>
        <v>3844.3574443810608</v>
      </c>
      <c r="AS123" s="131"/>
      <c r="AT123" s="131"/>
      <c r="AU123" s="41"/>
      <c r="AV123" s="41"/>
      <c r="AW123" s="41"/>
    </row>
    <row r="124" spans="1:49" x14ac:dyDescent="0.25">
      <c r="A124" s="32">
        <v>119</v>
      </c>
      <c r="B124" s="13" t="s">
        <v>21</v>
      </c>
      <c r="C124" s="13" t="s">
        <v>575</v>
      </c>
      <c r="D124" s="10">
        <v>0</v>
      </c>
      <c r="E124" s="9" t="s">
        <v>576</v>
      </c>
      <c r="F124" s="9" t="s">
        <v>727</v>
      </c>
      <c r="G124" s="12" t="s">
        <v>578</v>
      </c>
      <c r="H124" s="12">
        <v>410208</v>
      </c>
      <c r="I124" s="90">
        <v>80</v>
      </c>
      <c r="J124" s="90" t="str">
        <f t="shared" si="89"/>
        <v>51-80</v>
      </c>
      <c r="K124" s="91">
        <f t="shared" si="88"/>
        <v>6509</v>
      </c>
      <c r="L124" s="2">
        <v>38</v>
      </c>
      <c r="M124" s="35" t="str">
        <f t="shared" si="90"/>
        <v>31-50</v>
      </c>
      <c r="N124" s="36">
        <f t="shared" si="87"/>
        <v>5073.1976040297868</v>
      </c>
      <c r="O124" s="20">
        <v>0</v>
      </c>
      <c r="P124" s="51" t="str">
        <f t="shared" si="60"/>
        <v>0-20</v>
      </c>
      <c r="Q124" s="51">
        <f t="shared" si="56"/>
        <v>3844.3574443810608</v>
      </c>
      <c r="R124" s="21">
        <v>53</v>
      </c>
      <c r="S124" s="49" t="str">
        <f t="shared" si="57"/>
        <v>51-80</v>
      </c>
      <c r="T124" s="49">
        <f t="shared" si="58"/>
        <v>6509</v>
      </c>
      <c r="U124" s="22">
        <v>39</v>
      </c>
      <c r="V124" s="50" t="str">
        <f t="shared" si="61"/>
        <v>31-50</v>
      </c>
      <c r="W124" s="50">
        <f t="shared" si="59"/>
        <v>5073.1976040297868</v>
      </c>
      <c r="X124" s="143" t="s">
        <v>1458</v>
      </c>
      <c r="Y124" s="143" t="e">
        <f t="shared" si="62"/>
        <v>#N/A</v>
      </c>
      <c r="Z124" s="143" t="e">
        <f t="shared" si="63"/>
        <v>#N/A</v>
      </c>
      <c r="AA124" s="115"/>
      <c r="AB124" s="114" t="str">
        <f t="shared" si="64"/>
        <v>0-20</v>
      </c>
      <c r="AC124" s="114">
        <f t="shared" si="65"/>
        <v>3844.3574443810608</v>
      </c>
      <c r="AD124" s="129"/>
      <c r="AE124" s="129" t="str">
        <f t="shared" si="75"/>
        <v>0-20</v>
      </c>
      <c r="AF124" s="129">
        <f t="shared" si="76"/>
        <v>3844.3574443810608</v>
      </c>
      <c r="AG124" s="138">
        <v>109</v>
      </c>
      <c r="AH124" s="138" t="str">
        <f t="shared" si="83"/>
        <v>81-110</v>
      </c>
      <c r="AI124" s="138">
        <f t="shared" si="84"/>
        <v>8747.8561594387575</v>
      </c>
      <c r="AJ124" s="22"/>
      <c r="AK124" s="2"/>
      <c r="AL124" s="2"/>
      <c r="AM124" s="2">
        <v>47</v>
      </c>
      <c r="AN124" s="3" t="str">
        <f t="shared" si="91"/>
        <v>31-50</v>
      </c>
      <c r="AO124" s="119">
        <f t="shared" si="92"/>
        <v>5073.1976040297868</v>
      </c>
      <c r="AP124" s="133"/>
      <c r="AQ124" s="133" t="str">
        <f t="shared" si="68"/>
        <v>0-20</v>
      </c>
      <c r="AR124" s="133">
        <f t="shared" si="69"/>
        <v>3844.3574443810608</v>
      </c>
      <c r="AS124" s="131"/>
      <c r="AT124" s="131"/>
      <c r="AU124" s="41"/>
      <c r="AV124" s="41"/>
      <c r="AW124" s="41"/>
    </row>
    <row r="125" spans="1:49" x14ac:dyDescent="0.25">
      <c r="A125" s="32">
        <v>120</v>
      </c>
      <c r="B125" s="13" t="s">
        <v>21</v>
      </c>
      <c r="C125" s="11" t="s">
        <v>345</v>
      </c>
      <c r="D125" s="10" t="s">
        <v>976</v>
      </c>
      <c r="E125" s="11" t="s">
        <v>346</v>
      </c>
      <c r="F125" s="34" t="s">
        <v>347</v>
      </c>
      <c r="G125" s="6" t="s">
        <v>114</v>
      </c>
      <c r="H125" s="33">
        <v>401203</v>
      </c>
      <c r="I125" s="90">
        <v>151</v>
      </c>
      <c r="J125" s="90" t="str">
        <f t="shared" si="89"/>
        <v>110-130</v>
      </c>
      <c r="K125" s="91">
        <f t="shared" si="88"/>
        <v>10159.810450732197</v>
      </c>
      <c r="L125" s="35">
        <v>46</v>
      </c>
      <c r="M125" s="35" t="str">
        <f t="shared" si="90"/>
        <v>31-50</v>
      </c>
      <c r="N125" s="36">
        <f t="shared" si="87"/>
        <v>5073.1976040297868</v>
      </c>
      <c r="O125" s="51">
        <v>14</v>
      </c>
      <c r="P125" s="51" t="str">
        <f t="shared" si="60"/>
        <v>0-20</v>
      </c>
      <c r="Q125" s="51">
        <f t="shared" si="56"/>
        <v>3844.3574443810608</v>
      </c>
      <c r="R125" s="49">
        <v>53</v>
      </c>
      <c r="S125" s="49" t="str">
        <f t="shared" si="57"/>
        <v>51-80</v>
      </c>
      <c r="T125" s="49">
        <f t="shared" si="58"/>
        <v>6509</v>
      </c>
      <c r="U125" s="50">
        <v>57</v>
      </c>
      <c r="V125" s="50" t="str">
        <f t="shared" si="61"/>
        <v>51-80</v>
      </c>
      <c r="W125" s="50">
        <f t="shared" si="59"/>
        <v>6509</v>
      </c>
      <c r="X125" s="143" t="s">
        <v>1458</v>
      </c>
      <c r="Y125" s="143" t="e">
        <f t="shared" si="62"/>
        <v>#N/A</v>
      </c>
      <c r="Z125" s="143" t="e">
        <f t="shared" si="63"/>
        <v>#N/A</v>
      </c>
      <c r="AA125" s="116"/>
      <c r="AB125" s="114" t="str">
        <f t="shared" si="64"/>
        <v>0-20</v>
      </c>
      <c r="AC125" s="114">
        <f t="shared" si="65"/>
        <v>3844.3574443810608</v>
      </c>
      <c r="AD125" s="129"/>
      <c r="AE125" s="129" t="str">
        <f t="shared" si="75"/>
        <v>0-20</v>
      </c>
      <c r="AF125" s="129">
        <f t="shared" si="76"/>
        <v>3844.3574443810608</v>
      </c>
      <c r="AG125" s="138">
        <v>59</v>
      </c>
      <c r="AH125" s="138" t="str">
        <f t="shared" si="83"/>
        <v>51-80</v>
      </c>
      <c r="AI125" s="138">
        <f t="shared" si="84"/>
        <v>6509</v>
      </c>
      <c r="AJ125" s="36">
        <v>70</v>
      </c>
      <c r="AK125" s="36" t="str">
        <f t="shared" ref="AK125:AK150" si="93">VLOOKUP(AJ125,$AV$3:$AW$9,2,1)</f>
        <v>51-80</v>
      </c>
      <c r="AL125" s="37">
        <f t="shared" ref="AL125:AL150" si="94">VLOOKUP(AK125,$AW$3:$AX$9,2,0)</f>
        <v>6509</v>
      </c>
      <c r="AM125" s="37"/>
      <c r="AN125" s="3" t="str">
        <f t="shared" si="91"/>
        <v>0-20</v>
      </c>
      <c r="AO125" s="119">
        <f t="shared" si="92"/>
        <v>3844.3574443810608</v>
      </c>
      <c r="AP125" s="133"/>
      <c r="AQ125" s="133" t="str">
        <f t="shared" si="68"/>
        <v>0-20</v>
      </c>
      <c r="AR125" s="133">
        <f t="shared" si="69"/>
        <v>3844.3574443810608</v>
      </c>
      <c r="AS125" s="131"/>
      <c r="AT125" s="131"/>
      <c r="AU125" s="41"/>
      <c r="AV125" s="41"/>
      <c r="AW125" s="41"/>
    </row>
    <row r="126" spans="1:49" x14ac:dyDescent="0.25">
      <c r="A126" s="32">
        <v>121</v>
      </c>
      <c r="B126" s="13" t="s">
        <v>21</v>
      </c>
      <c r="C126" s="11" t="s">
        <v>348</v>
      </c>
      <c r="D126" s="10" t="s">
        <v>977</v>
      </c>
      <c r="E126" s="11" t="s">
        <v>349</v>
      </c>
      <c r="F126" s="34" t="s">
        <v>350</v>
      </c>
      <c r="G126" s="6" t="s">
        <v>351</v>
      </c>
      <c r="H126" s="33">
        <v>402304</v>
      </c>
      <c r="I126" s="90">
        <v>105</v>
      </c>
      <c r="J126" s="90" t="str">
        <f t="shared" si="89"/>
        <v>81-110</v>
      </c>
      <c r="K126" s="91">
        <f t="shared" si="88"/>
        <v>8747.8561594387575</v>
      </c>
      <c r="L126" s="35">
        <v>125</v>
      </c>
      <c r="M126" s="35" t="str">
        <f t="shared" si="90"/>
        <v>110-130</v>
      </c>
      <c r="N126" s="36">
        <f t="shared" si="87"/>
        <v>10159.810450732197</v>
      </c>
      <c r="O126" s="51">
        <v>149</v>
      </c>
      <c r="P126" s="51" t="str">
        <f t="shared" si="60"/>
        <v>110-130</v>
      </c>
      <c r="Q126" s="51">
        <f t="shared" si="56"/>
        <v>10159.810450732197</v>
      </c>
      <c r="R126" s="49">
        <v>133</v>
      </c>
      <c r="S126" s="49" t="str">
        <f t="shared" si="57"/>
        <v>110-130</v>
      </c>
      <c r="T126" s="49">
        <f t="shared" si="58"/>
        <v>10159.810450732197</v>
      </c>
      <c r="U126" s="50">
        <v>116</v>
      </c>
      <c r="V126" s="50" t="str">
        <f t="shared" si="61"/>
        <v>110-130</v>
      </c>
      <c r="W126" s="50">
        <f t="shared" si="59"/>
        <v>10159.810450732197</v>
      </c>
      <c r="X126" s="143" t="s">
        <v>1458</v>
      </c>
      <c r="Y126" s="143" t="e">
        <f t="shared" si="62"/>
        <v>#N/A</v>
      </c>
      <c r="Z126" s="143" t="e">
        <f t="shared" si="63"/>
        <v>#N/A</v>
      </c>
      <c r="AA126" s="116"/>
      <c r="AB126" s="114" t="str">
        <f t="shared" si="64"/>
        <v>0-20</v>
      </c>
      <c r="AC126" s="114">
        <f t="shared" si="65"/>
        <v>3844.3574443810608</v>
      </c>
      <c r="AD126" s="129"/>
      <c r="AE126" s="129" t="str">
        <f t="shared" si="75"/>
        <v>0-20</v>
      </c>
      <c r="AF126" s="129">
        <f t="shared" si="76"/>
        <v>3844.3574443810608</v>
      </c>
      <c r="AG126" s="138"/>
      <c r="AH126" s="138" t="str">
        <f t="shared" si="83"/>
        <v>0-20</v>
      </c>
      <c r="AI126" s="138">
        <f t="shared" si="84"/>
        <v>3844.3574443810608</v>
      </c>
      <c r="AJ126" s="36">
        <v>121</v>
      </c>
      <c r="AK126" s="36" t="str">
        <f t="shared" si="93"/>
        <v>110-130</v>
      </c>
      <c r="AL126" s="37">
        <f t="shared" si="94"/>
        <v>10159.810450732197</v>
      </c>
      <c r="AM126" s="82">
        <v>58</v>
      </c>
      <c r="AN126" s="83" t="str">
        <f t="shared" si="91"/>
        <v>51-80</v>
      </c>
      <c r="AO126" s="121">
        <f t="shared" si="92"/>
        <v>6509</v>
      </c>
      <c r="AP126" s="133"/>
      <c r="AQ126" s="133" t="str">
        <f t="shared" si="68"/>
        <v>0-20</v>
      </c>
      <c r="AR126" s="133">
        <f t="shared" si="69"/>
        <v>3844.3574443810608</v>
      </c>
      <c r="AS126" s="131"/>
      <c r="AT126" s="131"/>
      <c r="AU126" s="41"/>
      <c r="AV126" s="41"/>
      <c r="AW126" s="41"/>
    </row>
    <row r="127" spans="1:49" x14ac:dyDescent="0.25">
      <c r="A127" s="32">
        <v>122</v>
      </c>
      <c r="B127" s="13" t="s">
        <v>21</v>
      </c>
      <c r="C127" s="11" t="s">
        <v>352</v>
      </c>
      <c r="D127" s="10" t="s">
        <v>978</v>
      </c>
      <c r="E127" s="11" t="s">
        <v>353</v>
      </c>
      <c r="F127" s="34" t="s">
        <v>1469</v>
      </c>
      <c r="G127" s="6" t="s">
        <v>344</v>
      </c>
      <c r="H127" s="33">
        <v>421503</v>
      </c>
      <c r="I127" s="90">
        <v>94</v>
      </c>
      <c r="J127" s="90" t="str">
        <f t="shared" si="89"/>
        <v>81-110</v>
      </c>
      <c r="K127" s="91">
        <f t="shared" si="88"/>
        <v>8747.8561594387575</v>
      </c>
      <c r="L127" s="35">
        <v>47</v>
      </c>
      <c r="M127" s="35" t="str">
        <f t="shared" si="90"/>
        <v>31-50</v>
      </c>
      <c r="N127" s="36">
        <f t="shared" si="87"/>
        <v>5073.1976040297868</v>
      </c>
      <c r="O127" s="51">
        <v>60.6</v>
      </c>
      <c r="P127" s="51" t="str">
        <f t="shared" si="60"/>
        <v>51-80</v>
      </c>
      <c r="Q127" s="51">
        <f t="shared" si="56"/>
        <v>6509</v>
      </c>
      <c r="R127" s="49">
        <v>65</v>
      </c>
      <c r="S127" s="49" t="str">
        <f t="shared" si="57"/>
        <v>51-80</v>
      </c>
      <c r="T127" s="49">
        <f t="shared" si="58"/>
        <v>6509</v>
      </c>
      <c r="U127" s="50">
        <v>58</v>
      </c>
      <c r="V127" s="50" t="str">
        <f t="shared" si="61"/>
        <v>51-80</v>
      </c>
      <c r="W127" s="50">
        <f t="shared" si="59"/>
        <v>6509</v>
      </c>
      <c r="X127" s="143">
        <v>34</v>
      </c>
      <c r="Y127" s="143" t="str">
        <f t="shared" si="62"/>
        <v>31-50</v>
      </c>
      <c r="Z127" s="143">
        <f t="shared" si="63"/>
        <v>5073.1976040297868</v>
      </c>
      <c r="AA127" s="116"/>
      <c r="AB127" s="114" t="str">
        <f t="shared" si="64"/>
        <v>0-20</v>
      </c>
      <c r="AC127" s="114">
        <f t="shared" si="65"/>
        <v>3844.3574443810608</v>
      </c>
      <c r="AD127" s="129"/>
      <c r="AE127" s="129" t="str">
        <f t="shared" si="75"/>
        <v>0-20</v>
      </c>
      <c r="AF127" s="129">
        <f t="shared" si="76"/>
        <v>3844.3574443810608</v>
      </c>
      <c r="AG127" s="138">
        <v>88</v>
      </c>
      <c r="AH127" s="138" t="str">
        <f t="shared" si="83"/>
        <v>81-110</v>
      </c>
      <c r="AI127" s="138">
        <f t="shared" si="84"/>
        <v>8747.8561594387575</v>
      </c>
      <c r="AJ127" s="36">
        <v>60</v>
      </c>
      <c r="AK127" s="36" t="str">
        <f t="shared" si="93"/>
        <v>51-80</v>
      </c>
      <c r="AL127" s="37">
        <f t="shared" si="94"/>
        <v>6509</v>
      </c>
      <c r="AM127" s="37"/>
      <c r="AN127" s="3" t="str">
        <f t="shared" si="91"/>
        <v>0-20</v>
      </c>
      <c r="AO127" s="119">
        <f t="shared" si="92"/>
        <v>3844.3574443810608</v>
      </c>
      <c r="AP127" s="133"/>
      <c r="AQ127" s="133" t="str">
        <f t="shared" si="68"/>
        <v>0-20</v>
      </c>
      <c r="AR127" s="133">
        <f t="shared" si="69"/>
        <v>3844.3574443810608</v>
      </c>
      <c r="AS127" s="131"/>
      <c r="AT127" s="131"/>
      <c r="AU127" s="41"/>
      <c r="AV127" s="41"/>
      <c r="AW127" s="41"/>
    </row>
    <row r="128" spans="1:49" x14ac:dyDescent="0.25">
      <c r="A128" s="32">
        <v>123</v>
      </c>
      <c r="B128" s="13" t="s">
        <v>21</v>
      </c>
      <c r="C128" s="11" t="s">
        <v>354</v>
      </c>
      <c r="D128" s="10">
        <v>0</v>
      </c>
      <c r="E128" s="11" t="s">
        <v>355</v>
      </c>
      <c r="F128" s="34" t="s">
        <v>356</v>
      </c>
      <c r="G128" s="6" t="s">
        <v>111</v>
      </c>
      <c r="H128" s="33">
        <v>410210</v>
      </c>
      <c r="I128" s="90">
        <v>84</v>
      </c>
      <c r="J128" s="90" t="str">
        <f t="shared" si="89"/>
        <v>81-110</v>
      </c>
      <c r="K128" s="91">
        <f t="shared" si="88"/>
        <v>8747.8561594387575</v>
      </c>
      <c r="L128" s="35">
        <v>32</v>
      </c>
      <c r="M128" s="35" t="str">
        <f t="shared" si="90"/>
        <v>31-50</v>
      </c>
      <c r="N128" s="36">
        <f t="shared" si="87"/>
        <v>5073.1976040297868</v>
      </c>
      <c r="O128" s="51">
        <v>64.400000000000006</v>
      </c>
      <c r="P128" s="51" t="str">
        <f t="shared" si="60"/>
        <v>51-80</v>
      </c>
      <c r="Q128" s="51">
        <f t="shared" si="56"/>
        <v>6509</v>
      </c>
      <c r="R128" s="49">
        <v>40</v>
      </c>
      <c r="S128" s="49" t="str">
        <f t="shared" si="57"/>
        <v>31-50</v>
      </c>
      <c r="T128" s="49">
        <f t="shared" si="58"/>
        <v>5073.1976040297868</v>
      </c>
      <c r="U128" s="50">
        <v>32</v>
      </c>
      <c r="V128" s="50" t="str">
        <f t="shared" si="61"/>
        <v>31-50</v>
      </c>
      <c r="W128" s="50">
        <f t="shared" si="59"/>
        <v>5073.1976040297868</v>
      </c>
      <c r="X128" s="143" t="s">
        <v>1458</v>
      </c>
      <c r="Y128" s="143" t="e">
        <f t="shared" si="62"/>
        <v>#N/A</v>
      </c>
      <c r="Z128" s="143" t="e">
        <f t="shared" si="63"/>
        <v>#N/A</v>
      </c>
      <c r="AA128" s="116"/>
      <c r="AB128" s="114" t="str">
        <f t="shared" si="64"/>
        <v>0-20</v>
      </c>
      <c r="AC128" s="114">
        <f t="shared" si="65"/>
        <v>3844.3574443810608</v>
      </c>
      <c r="AD128" s="129"/>
      <c r="AE128" s="129" t="str">
        <f t="shared" si="75"/>
        <v>0-20</v>
      </c>
      <c r="AF128" s="129">
        <f t="shared" si="76"/>
        <v>3844.3574443810608</v>
      </c>
      <c r="AG128" s="138">
        <v>112</v>
      </c>
      <c r="AH128" s="138" t="str">
        <f t="shared" si="83"/>
        <v>110-130</v>
      </c>
      <c r="AI128" s="138">
        <f t="shared" si="84"/>
        <v>10159.810450732197</v>
      </c>
      <c r="AJ128" s="36">
        <v>29</v>
      </c>
      <c r="AK128" s="36" t="str">
        <f t="shared" si="93"/>
        <v>21-30</v>
      </c>
      <c r="AL128" s="37">
        <f t="shared" si="94"/>
        <v>4508.6394748902885</v>
      </c>
      <c r="AM128" s="37"/>
      <c r="AN128" s="3" t="str">
        <f t="shared" si="91"/>
        <v>0-20</v>
      </c>
      <c r="AO128" s="119">
        <f t="shared" si="92"/>
        <v>3844.3574443810608</v>
      </c>
      <c r="AP128" s="133"/>
      <c r="AQ128" s="133" t="str">
        <f t="shared" si="68"/>
        <v>0-20</v>
      </c>
      <c r="AR128" s="133">
        <f t="shared" si="69"/>
        <v>3844.3574443810608</v>
      </c>
      <c r="AS128" s="131"/>
      <c r="AT128" s="131"/>
      <c r="AU128" s="41"/>
      <c r="AV128" s="41"/>
      <c r="AW128" s="41"/>
    </row>
    <row r="129" spans="1:49" x14ac:dyDescent="0.25">
      <c r="A129" s="32">
        <v>124</v>
      </c>
      <c r="B129" s="13" t="s">
        <v>21</v>
      </c>
      <c r="C129" s="11" t="s">
        <v>357</v>
      </c>
      <c r="D129" s="10" t="s">
        <v>979</v>
      </c>
      <c r="E129" s="11" t="s">
        <v>462</v>
      </c>
      <c r="F129" s="34" t="s">
        <v>571</v>
      </c>
      <c r="G129" s="6" t="s">
        <v>572</v>
      </c>
      <c r="H129" s="33">
        <v>400706</v>
      </c>
      <c r="I129" s="90">
        <v>91</v>
      </c>
      <c r="J129" s="90" t="str">
        <f t="shared" si="89"/>
        <v>81-110</v>
      </c>
      <c r="K129" s="91">
        <f t="shared" si="88"/>
        <v>8747.8561594387575</v>
      </c>
      <c r="L129" s="99">
        <v>26</v>
      </c>
      <c r="M129" s="99" t="str">
        <f t="shared" si="90"/>
        <v>21-30</v>
      </c>
      <c r="N129" s="100">
        <f t="shared" si="87"/>
        <v>4508.6394748902885</v>
      </c>
      <c r="O129" s="51">
        <v>64</v>
      </c>
      <c r="P129" s="51" t="str">
        <f t="shared" si="60"/>
        <v>51-80</v>
      </c>
      <c r="Q129" s="51">
        <f t="shared" si="56"/>
        <v>6509</v>
      </c>
      <c r="R129" s="49">
        <v>31</v>
      </c>
      <c r="S129" s="49" t="str">
        <f t="shared" si="57"/>
        <v>31-50</v>
      </c>
      <c r="T129" s="49">
        <f t="shared" si="58"/>
        <v>5073.1976040297868</v>
      </c>
      <c r="U129" s="50">
        <v>21</v>
      </c>
      <c r="V129" s="50" t="str">
        <f t="shared" si="61"/>
        <v>21-30</v>
      </c>
      <c r="W129" s="50">
        <f t="shared" si="59"/>
        <v>4508.6394748902885</v>
      </c>
      <c r="X129" s="143">
        <v>47</v>
      </c>
      <c r="Y129" s="143" t="str">
        <f t="shared" si="62"/>
        <v>31-50</v>
      </c>
      <c r="Z129" s="143">
        <f t="shared" si="63"/>
        <v>5073.1976040297868</v>
      </c>
      <c r="AA129" s="116"/>
      <c r="AB129" s="114" t="str">
        <f t="shared" si="64"/>
        <v>0-20</v>
      </c>
      <c r="AC129" s="114">
        <f t="shared" si="65"/>
        <v>3844.3574443810608</v>
      </c>
      <c r="AD129" s="129"/>
      <c r="AE129" s="129" t="str">
        <f t="shared" si="75"/>
        <v>0-20</v>
      </c>
      <c r="AF129" s="129">
        <f t="shared" si="76"/>
        <v>3844.3574443810608</v>
      </c>
      <c r="AG129" s="138">
        <v>108</v>
      </c>
      <c r="AH129" s="138" t="str">
        <f t="shared" si="83"/>
        <v>81-110</v>
      </c>
      <c r="AI129" s="138">
        <f t="shared" si="84"/>
        <v>8747.8561594387575</v>
      </c>
      <c r="AJ129" s="36">
        <v>20</v>
      </c>
      <c r="AK129" s="36" t="str">
        <f t="shared" si="93"/>
        <v>0-20</v>
      </c>
      <c r="AL129" s="37">
        <f t="shared" si="94"/>
        <v>3844.3574443810608</v>
      </c>
      <c r="AM129" s="84">
        <v>47</v>
      </c>
      <c r="AN129" s="85" t="str">
        <f t="shared" si="91"/>
        <v>31-50</v>
      </c>
      <c r="AO129" s="122">
        <f t="shared" si="92"/>
        <v>5073.1976040297868</v>
      </c>
      <c r="AP129" s="133"/>
      <c r="AQ129" s="133" t="str">
        <f t="shared" si="68"/>
        <v>0-20</v>
      </c>
      <c r="AR129" s="133">
        <f t="shared" si="69"/>
        <v>3844.3574443810608</v>
      </c>
      <c r="AS129" s="131"/>
      <c r="AT129" s="131"/>
      <c r="AU129" s="41"/>
      <c r="AV129" s="41"/>
      <c r="AW129" s="41"/>
    </row>
    <row r="130" spans="1:49" x14ac:dyDescent="0.25">
      <c r="A130" s="32">
        <v>125</v>
      </c>
      <c r="B130" s="13" t="s">
        <v>21</v>
      </c>
      <c r="C130" s="11" t="s">
        <v>489</v>
      </c>
      <c r="D130" s="10">
        <v>0</v>
      </c>
      <c r="E130" s="11" t="s">
        <v>360</v>
      </c>
      <c r="F130" s="34" t="s">
        <v>492</v>
      </c>
      <c r="G130" s="6" t="s">
        <v>493</v>
      </c>
      <c r="H130" s="33">
        <v>401303</v>
      </c>
      <c r="I130" s="90">
        <v>149</v>
      </c>
      <c r="J130" s="90" t="str">
        <f t="shared" si="89"/>
        <v>110-130</v>
      </c>
      <c r="K130" s="91">
        <f t="shared" si="88"/>
        <v>10159.810450732197</v>
      </c>
      <c r="L130" s="35">
        <v>44</v>
      </c>
      <c r="M130" s="35" t="str">
        <f t="shared" si="90"/>
        <v>31-50</v>
      </c>
      <c r="N130" s="36">
        <f t="shared" si="87"/>
        <v>5073.1976040297868</v>
      </c>
      <c r="O130" s="51">
        <v>15</v>
      </c>
      <c r="P130" s="51" t="str">
        <f t="shared" si="60"/>
        <v>0-20</v>
      </c>
      <c r="Q130" s="51">
        <f t="shared" si="56"/>
        <v>3844.3574443810608</v>
      </c>
      <c r="R130" s="49">
        <v>55</v>
      </c>
      <c r="S130" s="49" t="str">
        <f t="shared" si="57"/>
        <v>51-80</v>
      </c>
      <c r="T130" s="49">
        <f t="shared" si="58"/>
        <v>6509</v>
      </c>
      <c r="U130" s="50">
        <v>66</v>
      </c>
      <c r="V130" s="50" t="str">
        <f t="shared" si="61"/>
        <v>51-80</v>
      </c>
      <c r="W130" s="50">
        <f t="shared" si="59"/>
        <v>6509</v>
      </c>
      <c r="X130" s="143" t="s">
        <v>1458</v>
      </c>
      <c r="Y130" s="143" t="e">
        <f t="shared" si="62"/>
        <v>#N/A</v>
      </c>
      <c r="Z130" s="143" t="e">
        <f t="shared" si="63"/>
        <v>#N/A</v>
      </c>
      <c r="AA130" s="116"/>
      <c r="AB130" s="114" t="str">
        <f t="shared" si="64"/>
        <v>0-20</v>
      </c>
      <c r="AC130" s="114">
        <f t="shared" si="65"/>
        <v>3844.3574443810608</v>
      </c>
      <c r="AD130" s="129"/>
      <c r="AE130" s="129" t="str">
        <f t="shared" si="75"/>
        <v>0-20</v>
      </c>
      <c r="AF130" s="129">
        <f t="shared" si="76"/>
        <v>3844.3574443810608</v>
      </c>
      <c r="AG130" s="138">
        <v>57</v>
      </c>
      <c r="AH130" s="138" t="str">
        <f t="shared" si="83"/>
        <v>51-80</v>
      </c>
      <c r="AI130" s="138">
        <f t="shared" si="84"/>
        <v>6509</v>
      </c>
      <c r="AJ130" s="36">
        <v>60</v>
      </c>
      <c r="AK130" s="36" t="str">
        <f t="shared" si="93"/>
        <v>51-80</v>
      </c>
      <c r="AL130" s="37">
        <f t="shared" si="94"/>
        <v>6509</v>
      </c>
      <c r="AM130" s="37"/>
      <c r="AN130" s="3" t="str">
        <f t="shared" si="91"/>
        <v>0-20</v>
      </c>
      <c r="AO130" s="119">
        <f t="shared" si="92"/>
        <v>3844.3574443810608</v>
      </c>
      <c r="AP130" s="133"/>
      <c r="AQ130" s="133" t="str">
        <f t="shared" si="68"/>
        <v>0-20</v>
      </c>
      <c r="AR130" s="133">
        <f t="shared" si="69"/>
        <v>3844.3574443810608</v>
      </c>
      <c r="AS130" s="131"/>
      <c r="AT130" s="131"/>
      <c r="AU130" s="41"/>
      <c r="AV130" s="41"/>
      <c r="AW130" s="41"/>
    </row>
    <row r="131" spans="1:49" x14ac:dyDescent="0.25">
      <c r="A131" s="32">
        <v>126</v>
      </c>
      <c r="B131" s="13" t="s">
        <v>21</v>
      </c>
      <c r="C131" s="11" t="s">
        <v>488</v>
      </c>
      <c r="D131" s="10" t="s">
        <v>980</v>
      </c>
      <c r="E131" s="14" t="s">
        <v>747</v>
      </c>
      <c r="F131" s="34" t="s">
        <v>361</v>
      </c>
      <c r="G131" s="6" t="s">
        <v>362</v>
      </c>
      <c r="H131" s="33">
        <v>410208</v>
      </c>
      <c r="I131" s="90">
        <v>85</v>
      </c>
      <c r="J131" s="90" t="str">
        <f t="shared" si="89"/>
        <v>81-110</v>
      </c>
      <c r="K131" s="91">
        <f t="shared" si="88"/>
        <v>8747.8561594387575</v>
      </c>
      <c r="L131" s="99">
        <v>30</v>
      </c>
      <c r="M131" s="99" t="str">
        <f t="shared" si="90"/>
        <v>21-30</v>
      </c>
      <c r="N131" s="100">
        <f t="shared" si="87"/>
        <v>4508.6394748902885</v>
      </c>
      <c r="O131" s="51">
        <v>66</v>
      </c>
      <c r="P131" s="51" t="str">
        <f t="shared" si="60"/>
        <v>51-80</v>
      </c>
      <c r="Q131" s="51">
        <f t="shared" ref="Q131:Q194" si="95">VLOOKUP(P131,$AW$3:$AX$9,2,0)</f>
        <v>6509</v>
      </c>
      <c r="R131" s="49">
        <v>48</v>
      </c>
      <c r="S131" s="49" t="str">
        <f t="shared" ref="S131:S194" si="96">VLOOKUP(R131,$AV$3:$AW$9,2,1)</f>
        <v>31-50</v>
      </c>
      <c r="T131" s="49">
        <f t="shared" ref="T131:T194" si="97">VLOOKUP(S131,$AW$3:$AX$9,2,0)</f>
        <v>5073.1976040297868</v>
      </c>
      <c r="U131" s="50">
        <v>35</v>
      </c>
      <c r="V131" s="50" t="str">
        <f t="shared" si="61"/>
        <v>31-50</v>
      </c>
      <c r="W131" s="50">
        <f t="shared" ref="W131:W194" si="98">VLOOKUP(V131,$AW$3:$AX$9,2,0)</f>
        <v>5073.1976040297868</v>
      </c>
      <c r="X131" s="143">
        <v>43</v>
      </c>
      <c r="Y131" s="143" t="str">
        <f t="shared" si="62"/>
        <v>31-50</v>
      </c>
      <c r="Z131" s="143">
        <f t="shared" si="63"/>
        <v>5073.1976040297868</v>
      </c>
      <c r="AA131" s="116"/>
      <c r="AB131" s="114" t="str">
        <f t="shared" si="64"/>
        <v>0-20</v>
      </c>
      <c r="AC131" s="114">
        <f t="shared" si="65"/>
        <v>3844.3574443810608</v>
      </c>
      <c r="AD131" s="129"/>
      <c r="AE131" s="129" t="str">
        <f t="shared" si="75"/>
        <v>0-20</v>
      </c>
      <c r="AF131" s="129">
        <f t="shared" si="76"/>
        <v>3844.3574443810608</v>
      </c>
      <c r="AG131" s="138">
        <v>108</v>
      </c>
      <c r="AH131" s="138" t="str">
        <f t="shared" si="83"/>
        <v>81-110</v>
      </c>
      <c r="AI131" s="138">
        <f t="shared" si="84"/>
        <v>8747.8561594387575</v>
      </c>
      <c r="AJ131" s="36">
        <v>34</v>
      </c>
      <c r="AK131" s="36" t="str">
        <f t="shared" si="93"/>
        <v>31-50</v>
      </c>
      <c r="AL131" s="37">
        <f t="shared" si="94"/>
        <v>5073.1976040297868</v>
      </c>
      <c r="AM131" s="37">
        <v>44</v>
      </c>
      <c r="AN131" s="3" t="str">
        <f t="shared" si="91"/>
        <v>31-50</v>
      </c>
      <c r="AO131" s="119">
        <f t="shared" si="92"/>
        <v>5073.1976040297868</v>
      </c>
      <c r="AP131" s="133"/>
      <c r="AQ131" s="133" t="str">
        <f t="shared" si="68"/>
        <v>0-20</v>
      </c>
      <c r="AR131" s="133">
        <f t="shared" si="69"/>
        <v>3844.3574443810608</v>
      </c>
      <c r="AS131" s="131"/>
      <c r="AT131" s="131"/>
      <c r="AU131" s="41"/>
      <c r="AV131" s="41"/>
      <c r="AW131" s="41"/>
    </row>
    <row r="132" spans="1:49" x14ac:dyDescent="0.25">
      <c r="A132" s="32">
        <v>127</v>
      </c>
      <c r="B132" s="13" t="s">
        <v>21</v>
      </c>
      <c r="C132" s="11" t="s">
        <v>358</v>
      </c>
      <c r="D132" s="10" t="s">
        <v>981</v>
      </c>
      <c r="E132" s="11" t="s">
        <v>359</v>
      </c>
      <c r="F132" s="34" t="s">
        <v>1460</v>
      </c>
      <c r="G132" s="6" t="s">
        <v>243</v>
      </c>
      <c r="H132" s="33">
        <v>401202</v>
      </c>
      <c r="I132" s="90">
        <v>146</v>
      </c>
      <c r="J132" s="90" t="str">
        <f t="shared" si="89"/>
        <v>110-130</v>
      </c>
      <c r="K132" s="91">
        <f t="shared" si="88"/>
        <v>10159.810450732197</v>
      </c>
      <c r="L132" s="35">
        <v>41</v>
      </c>
      <c r="M132" s="35" t="str">
        <f t="shared" si="90"/>
        <v>31-50</v>
      </c>
      <c r="N132" s="36">
        <f t="shared" si="87"/>
        <v>5073.1976040297868</v>
      </c>
      <c r="O132" s="51">
        <v>18</v>
      </c>
      <c r="P132" s="51" t="str">
        <f t="shared" ref="P132:P195" si="99">VLOOKUP(O132,$AV$3:$AW$9,2,1)</f>
        <v>0-20</v>
      </c>
      <c r="Q132" s="51">
        <f t="shared" si="95"/>
        <v>3844.3574443810608</v>
      </c>
      <c r="R132" s="49">
        <v>48</v>
      </c>
      <c r="S132" s="49" t="str">
        <f t="shared" si="96"/>
        <v>31-50</v>
      </c>
      <c r="T132" s="49">
        <f t="shared" si="97"/>
        <v>5073.1976040297868</v>
      </c>
      <c r="U132" s="50">
        <v>47</v>
      </c>
      <c r="V132" s="50" t="str">
        <f t="shared" ref="V132:V195" si="100">VLOOKUP(U132,$AV$3:$AW$9,2,1)</f>
        <v>31-50</v>
      </c>
      <c r="W132" s="50">
        <f t="shared" si="98"/>
        <v>5073.1976040297868</v>
      </c>
      <c r="X132" s="143">
        <v>41</v>
      </c>
      <c r="Y132" s="143" t="str">
        <f t="shared" ref="Y132:Y195" si="101">VLOOKUP(X132,$AV$4:$AW$9,2,1)</f>
        <v>31-50</v>
      </c>
      <c r="Z132" s="143">
        <f t="shared" ref="Z132:Z195" si="102">VLOOKUP(Y132,$AW$3:$AX$9,2,0)</f>
        <v>5073.1976040297868</v>
      </c>
      <c r="AA132" s="116">
        <v>30</v>
      </c>
      <c r="AB132" s="114" t="str">
        <f t="shared" si="64"/>
        <v>21-30</v>
      </c>
      <c r="AC132" s="114">
        <f t="shared" si="65"/>
        <v>4508.6394748902885</v>
      </c>
      <c r="AD132" s="129"/>
      <c r="AE132" s="129" t="str">
        <f t="shared" si="75"/>
        <v>0-20</v>
      </c>
      <c r="AF132" s="129">
        <f t="shared" si="76"/>
        <v>3844.3574443810608</v>
      </c>
      <c r="AG132" s="138">
        <v>60</v>
      </c>
      <c r="AH132" s="138" t="str">
        <f t="shared" si="83"/>
        <v>51-80</v>
      </c>
      <c r="AI132" s="138">
        <f t="shared" si="84"/>
        <v>6509</v>
      </c>
      <c r="AJ132" s="36">
        <v>54</v>
      </c>
      <c r="AK132" s="36" t="str">
        <f t="shared" si="93"/>
        <v>51-80</v>
      </c>
      <c r="AL132" s="37">
        <f t="shared" si="94"/>
        <v>6509</v>
      </c>
      <c r="AM132" s="37">
        <v>102</v>
      </c>
      <c r="AN132" s="3" t="str">
        <f t="shared" si="91"/>
        <v>81-110</v>
      </c>
      <c r="AO132" s="119">
        <f t="shared" si="92"/>
        <v>8747.8561594387575</v>
      </c>
      <c r="AP132" s="133"/>
      <c r="AQ132" s="133" t="str">
        <f t="shared" si="68"/>
        <v>0-20</v>
      </c>
      <c r="AR132" s="133">
        <f t="shared" si="69"/>
        <v>3844.3574443810608</v>
      </c>
      <c r="AS132" s="131"/>
      <c r="AT132" s="131"/>
      <c r="AU132" s="41"/>
      <c r="AV132" s="41"/>
      <c r="AW132" s="41"/>
    </row>
    <row r="133" spans="1:49" x14ac:dyDescent="0.25">
      <c r="A133" s="32">
        <v>128</v>
      </c>
      <c r="B133" s="13" t="s">
        <v>21</v>
      </c>
      <c r="C133" s="11" t="s">
        <v>363</v>
      </c>
      <c r="D133" s="10" t="s">
        <v>982</v>
      </c>
      <c r="E133" s="11" t="s">
        <v>364</v>
      </c>
      <c r="F133" s="34" t="s">
        <v>365</v>
      </c>
      <c r="G133" s="6" t="s">
        <v>233</v>
      </c>
      <c r="H133" s="33">
        <v>410101</v>
      </c>
      <c r="I133" s="90">
        <v>72</v>
      </c>
      <c r="J133" s="90" t="str">
        <f t="shared" si="89"/>
        <v>51-80</v>
      </c>
      <c r="K133" s="91">
        <f t="shared" si="88"/>
        <v>6509</v>
      </c>
      <c r="L133" s="35">
        <v>79</v>
      </c>
      <c r="M133" s="35" t="str">
        <f t="shared" si="90"/>
        <v>51-80</v>
      </c>
      <c r="N133" s="36">
        <f t="shared" si="87"/>
        <v>6509</v>
      </c>
      <c r="O133" s="51">
        <v>101</v>
      </c>
      <c r="P133" s="51" t="str">
        <f t="shared" si="99"/>
        <v>81-110</v>
      </c>
      <c r="Q133" s="51">
        <f t="shared" si="95"/>
        <v>8747.8561594387575</v>
      </c>
      <c r="R133" s="49">
        <v>96</v>
      </c>
      <c r="S133" s="49" t="str">
        <f t="shared" si="96"/>
        <v>81-110</v>
      </c>
      <c r="T133" s="49">
        <f t="shared" si="97"/>
        <v>8747.8561594387575</v>
      </c>
      <c r="U133" s="50">
        <v>74</v>
      </c>
      <c r="V133" s="50" t="str">
        <f t="shared" si="100"/>
        <v>51-80</v>
      </c>
      <c r="W133" s="50">
        <f t="shared" si="98"/>
        <v>6509</v>
      </c>
      <c r="X133" s="143" t="s">
        <v>1458</v>
      </c>
      <c r="Y133" s="143" t="e">
        <f t="shared" si="101"/>
        <v>#N/A</v>
      </c>
      <c r="Z133" s="143" t="e">
        <f t="shared" si="102"/>
        <v>#N/A</v>
      </c>
      <c r="AA133" s="116"/>
      <c r="AB133" s="114" t="str">
        <f t="shared" ref="AB133:AB196" si="103">VLOOKUP(AA133,$AV$4:$AW$9,2,1)</f>
        <v>0-20</v>
      </c>
      <c r="AC133" s="114">
        <f t="shared" ref="AC133:AC196" si="104">VLOOKUP(AB133,$AW$3:$AX$9,2,0)</f>
        <v>3844.3574443810608</v>
      </c>
      <c r="AD133" s="129"/>
      <c r="AE133" s="129" t="str">
        <f t="shared" si="75"/>
        <v>0-20</v>
      </c>
      <c r="AF133" s="129">
        <f t="shared" si="76"/>
        <v>3844.3574443810608</v>
      </c>
      <c r="AG133" s="138">
        <v>107</v>
      </c>
      <c r="AH133" s="138" t="str">
        <f t="shared" si="83"/>
        <v>81-110</v>
      </c>
      <c r="AI133" s="138">
        <f t="shared" si="84"/>
        <v>8747.8561594387575</v>
      </c>
      <c r="AJ133" s="36">
        <v>52</v>
      </c>
      <c r="AK133" s="36" t="str">
        <f t="shared" si="93"/>
        <v>51-80</v>
      </c>
      <c r="AL133" s="37">
        <f t="shared" si="94"/>
        <v>6509</v>
      </c>
      <c r="AM133" s="37">
        <v>45</v>
      </c>
      <c r="AN133" s="3" t="str">
        <f t="shared" si="91"/>
        <v>31-50</v>
      </c>
      <c r="AO133" s="119">
        <f t="shared" si="92"/>
        <v>5073.1976040297868</v>
      </c>
      <c r="AP133" s="133"/>
      <c r="AQ133" s="133" t="str">
        <f t="shared" ref="AQ133:AQ196" si="105">VLOOKUP(AP133,$AV$4:$AW$9,2,1)</f>
        <v>0-20</v>
      </c>
      <c r="AR133" s="133">
        <f t="shared" ref="AR133:AR196" si="106">VLOOKUP(AQ133,$AW$3:$AX$9,2,0)</f>
        <v>3844.3574443810608</v>
      </c>
      <c r="AS133" s="131"/>
      <c r="AT133" s="131"/>
      <c r="AU133" s="41"/>
      <c r="AV133" s="41"/>
      <c r="AW133" s="41"/>
    </row>
    <row r="134" spans="1:49" x14ac:dyDescent="0.25">
      <c r="A134" s="32">
        <v>129</v>
      </c>
      <c r="B134" s="13" t="s">
        <v>21</v>
      </c>
      <c r="C134" s="11" t="s">
        <v>373</v>
      </c>
      <c r="D134" s="10">
        <v>0</v>
      </c>
      <c r="E134" s="11" t="s">
        <v>374</v>
      </c>
      <c r="F134" s="34" t="s">
        <v>375</v>
      </c>
      <c r="G134" s="6" t="s">
        <v>95</v>
      </c>
      <c r="H134" s="33">
        <v>400706</v>
      </c>
      <c r="I134" s="90">
        <v>91</v>
      </c>
      <c r="J134" s="90" t="str">
        <f t="shared" si="89"/>
        <v>81-110</v>
      </c>
      <c r="K134" s="91">
        <f t="shared" si="88"/>
        <v>8747.8561594387575</v>
      </c>
      <c r="L134" s="35">
        <v>26</v>
      </c>
      <c r="M134" s="35" t="str">
        <f t="shared" si="90"/>
        <v>21-30</v>
      </c>
      <c r="N134" s="36">
        <f t="shared" si="87"/>
        <v>4508.6394748902885</v>
      </c>
      <c r="O134" s="51">
        <v>63</v>
      </c>
      <c r="P134" s="51" t="str">
        <f t="shared" si="99"/>
        <v>51-80</v>
      </c>
      <c r="Q134" s="51">
        <f t="shared" si="95"/>
        <v>6509</v>
      </c>
      <c r="R134" s="49">
        <v>33</v>
      </c>
      <c r="S134" s="49" t="str">
        <f t="shared" si="96"/>
        <v>31-50</v>
      </c>
      <c r="T134" s="49">
        <f t="shared" si="97"/>
        <v>5073.1976040297868</v>
      </c>
      <c r="U134" s="50">
        <v>23</v>
      </c>
      <c r="V134" s="50" t="str">
        <f t="shared" si="100"/>
        <v>21-30</v>
      </c>
      <c r="W134" s="50">
        <f t="shared" si="98"/>
        <v>4508.6394748902885</v>
      </c>
      <c r="X134" s="143" t="s">
        <v>1458</v>
      </c>
      <c r="Y134" s="143" t="e">
        <f t="shared" si="101"/>
        <v>#N/A</v>
      </c>
      <c r="Z134" s="143" t="e">
        <f t="shared" si="102"/>
        <v>#N/A</v>
      </c>
      <c r="AA134" s="116"/>
      <c r="AB134" s="114" t="str">
        <f t="shared" si="103"/>
        <v>0-20</v>
      </c>
      <c r="AC134" s="114">
        <f t="shared" si="104"/>
        <v>3844.3574443810608</v>
      </c>
      <c r="AD134" s="129"/>
      <c r="AE134" s="129" t="str">
        <f t="shared" si="75"/>
        <v>0-20</v>
      </c>
      <c r="AF134" s="129">
        <f t="shared" si="76"/>
        <v>3844.3574443810608</v>
      </c>
      <c r="AG134" s="138">
        <v>108</v>
      </c>
      <c r="AH134" s="138" t="str">
        <f t="shared" si="83"/>
        <v>81-110</v>
      </c>
      <c r="AI134" s="138">
        <f t="shared" si="84"/>
        <v>8747.8561594387575</v>
      </c>
      <c r="AJ134" s="36">
        <v>19</v>
      </c>
      <c r="AK134" s="36" t="str">
        <f t="shared" si="93"/>
        <v>0-20</v>
      </c>
      <c r="AL134" s="37">
        <f t="shared" si="94"/>
        <v>3844.3574443810608</v>
      </c>
      <c r="AM134" s="37"/>
      <c r="AN134" s="37"/>
      <c r="AO134" s="123"/>
      <c r="AP134" s="133"/>
      <c r="AQ134" s="133" t="str">
        <f t="shared" si="105"/>
        <v>0-20</v>
      </c>
      <c r="AR134" s="133">
        <f t="shared" si="106"/>
        <v>3844.3574443810608</v>
      </c>
      <c r="AS134" s="131"/>
      <c r="AT134" s="131"/>
      <c r="AU134" s="41"/>
      <c r="AV134" s="41"/>
      <c r="AW134" s="41"/>
    </row>
    <row r="135" spans="1:49" x14ac:dyDescent="0.25">
      <c r="A135" s="32">
        <v>130</v>
      </c>
      <c r="B135" s="13" t="s">
        <v>21</v>
      </c>
      <c r="C135" s="11" t="s">
        <v>376</v>
      </c>
      <c r="D135" s="10">
        <v>0</v>
      </c>
      <c r="E135" s="11" t="s">
        <v>377</v>
      </c>
      <c r="F135" s="34" t="s">
        <v>378</v>
      </c>
      <c r="G135" s="6" t="s">
        <v>279</v>
      </c>
      <c r="H135" s="33">
        <v>401303</v>
      </c>
      <c r="I135" s="90">
        <v>158</v>
      </c>
      <c r="J135" s="90" t="str">
        <f t="shared" si="89"/>
        <v>110-130</v>
      </c>
      <c r="K135" s="91">
        <f t="shared" si="88"/>
        <v>10159.810450732197</v>
      </c>
      <c r="L135" s="35">
        <v>42</v>
      </c>
      <c r="M135" s="35" t="str">
        <f t="shared" si="90"/>
        <v>31-50</v>
      </c>
      <c r="N135" s="36">
        <f t="shared" si="87"/>
        <v>5073.1976040297868</v>
      </c>
      <c r="O135" s="51">
        <v>13</v>
      </c>
      <c r="P135" s="51" t="str">
        <f t="shared" si="99"/>
        <v>0-20</v>
      </c>
      <c r="Q135" s="51">
        <f t="shared" si="95"/>
        <v>3844.3574443810608</v>
      </c>
      <c r="R135" s="49">
        <v>58</v>
      </c>
      <c r="S135" s="49" t="str">
        <f t="shared" si="96"/>
        <v>51-80</v>
      </c>
      <c r="T135" s="49">
        <f t="shared" si="97"/>
        <v>6509</v>
      </c>
      <c r="U135" s="50">
        <v>72</v>
      </c>
      <c r="V135" s="50" t="str">
        <f t="shared" si="100"/>
        <v>51-80</v>
      </c>
      <c r="W135" s="50">
        <f t="shared" si="98"/>
        <v>6509</v>
      </c>
      <c r="X135" s="143" t="s">
        <v>1458</v>
      </c>
      <c r="Y135" s="143" t="e">
        <f t="shared" si="101"/>
        <v>#N/A</v>
      </c>
      <c r="Z135" s="143" t="e">
        <f t="shared" si="102"/>
        <v>#N/A</v>
      </c>
      <c r="AA135" s="116"/>
      <c r="AB135" s="114" t="str">
        <f t="shared" si="103"/>
        <v>0-20</v>
      </c>
      <c r="AC135" s="114">
        <f t="shared" si="104"/>
        <v>3844.3574443810608</v>
      </c>
      <c r="AD135" s="129"/>
      <c r="AE135" s="129" t="str">
        <f t="shared" si="75"/>
        <v>0-20</v>
      </c>
      <c r="AF135" s="129">
        <f t="shared" si="76"/>
        <v>3844.3574443810608</v>
      </c>
      <c r="AG135" s="138">
        <v>57</v>
      </c>
      <c r="AH135" s="138" t="str">
        <f t="shared" si="83"/>
        <v>51-80</v>
      </c>
      <c r="AI135" s="138">
        <f t="shared" si="84"/>
        <v>6509</v>
      </c>
      <c r="AJ135" s="36">
        <v>77</v>
      </c>
      <c r="AK135" s="36" t="str">
        <f t="shared" si="93"/>
        <v>51-80</v>
      </c>
      <c r="AL135" s="37">
        <f t="shared" si="94"/>
        <v>6509</v>
      </c>
      <c r="AM135" s="37"/>
      <c r="AN135" s="37"/>
      <c r="AO135" s="123"/>
      <c r="AP135" s="133"/>
      <c r="AQ135" s="133" t="str">
        <f t="shared" si="105"/>
        <v>0-20</v>
      </c>
      <c r="AR135" s="133">
        <f t="shared" si="106"/>
        <v>3844.3574443810608</v>
      </c>
      <c r="AS135" s="131"/>
      <c r="AT135" s="131"/>
      <c r="AU135" s="41"/>
      <c r="AV135" s="41"/>
      <c r="AW135" s="41"/>
    </row>
    <row r="136" spans="1:49" x14ac:dyDescent="0.25">
      <c r="A136" s="32">
        <v>131</v>
      </c>
      <c r="B136" s="13" t="s">
        <v>21</v>
      </c>
      <c r="C136" s="11" t="s">
        <v>379</v>
      </c>
      <c r="D136" s="10">
        <v>0</v>
      </c>
      <c r="E136" s="11" t="s">
        <v>380</v>
      </c>
      <c r="F136" s="34" t="s">
        <v>381</v>
      </c>
      <c r="G136" s="6" t="s">
        <v>382</v>
      </c>
      <c r="H136" s="33">
        <v>401208</v>
      </c>
      <c r="I136" s="90">
        <v>133</v>
      </c>
      <c r="J136" s="90" t="str">
        <f t="shared" si="89"/>
        <v>110-130</v>
      </c>
      <c r="K136" s="91">
        <f t="shared" si="88"/>
        <v>10159.810450732197</v>
      </c>
      <c r="L136" s="35">
        <v>30</v>
      </c>
      <c r="M136" s="35" t="str">
        <f t="shared" si="90"/>
        <v>21-30</v>
      </c>
      <c r="N136" s="36">
        <f t="shared" si="87"/>
        <v>4508.6394748902885</v>
      </c>
      <c r="O136" s="51">
        <v>18</v>
      </c>
      <c r="P136" s="51" t="str">
        <f t="shared" si="99"/>
        <v>0-20</v>
      </c>
      <c r="Q136" s="51">
        <f t="shared" si="95"/>
        <v>3844.3574443810608</v>
      </c>
      <c r="R136" s="49">
        <v>36</v>
      </c>
      <c r="S136" s="49" t="str">
        <f t="shared" si="96"/>
        <v>31-50</v>
      </c>
      <c r="T136" s="49">
        <f t="shared" si="97"/>
        <v>5073.1976040297868</v>
      </c>
      <c r="U136" s="50">
        <v>47</v>
      </c>
      <c r="V136" s="50" t="str">
        <f t="shared" si="100"/>
        <v>31-50</v>
      </c>
      <c r="W136" s="50">
        <f t="shared" si="98"/>
        <v>5073.1976040297868</v>
      </c>
      <c r="X136" s="143" t="s">
        <v>1458</v>
      </c>
      <c r="Y136" s="143" t="e">
        <f t="shared" si="101"/>
        <v>#N/A</v>
      </c>
      <c r="Z136" s="143" t="e">
        <f t="shared" si="102"/>
        <v>#N/A</v>
      </c>
      <c r="AA136" s="116"/>
      <c r="AB136" s="114" t="str">
        <f t="shared" si="103"/>
        <v>0-20</v>
      </c>
      <c r="AC136" s="114">
        <f t="shared" si="104"/>
        <v>3844.3574443810608</v>
      </c>
      <c r="AD136" s="129"/>
      <c r="AE136" s="129" t="str">
        <f t="shared" si="75"/>
        <v>0-20</v>
      </c>
      <c r="AF136" s="129">
        <f t="shared" si="76"/>
        <v>3844.3574443810608</v>
      </c>
      <c r="AG136" s="138">
        <v>58</v>
      </c>
      <c r="AH136" s="138" t="str">
        <f t="shared" si="83"/>
        <v>51-80</v>
      </c>
      <c r="AI136" s="138">
        <f t="shared" si="84"/>
        <v>6509</v>
      </c>
      <c r="AJ136" s="36">
        <v>54</v>
      </c>
      <c r="AK136" s="36" t="str">
        <f t="shared" si="93"/>
        <v>51-80</v>
      </c>
      <c r="AL136" s="37">
        <f t="shared" si="94"/>
        <v>6509</v>
      </c>
      <c r="AM136" s="37"/>
      <c r="AN136" s="37"/>
      <c r="AO136" s="123"/>
      <c r="AP136" s="133"/>
      <c r="AQ136" s="133" t="str">
        <f t="shared" si="105"/>
        <v>0-20</v>
      </c>
      <c r="AR136" s="133">
        <f t="shared" si="106"/>
        <v>3844.3574443810608</v>
      </c>
      <c r="AS136" s="131"/>
      <c r="AT136" s="131"/>
      <c r="AU136" s="41"/>
      <c r="AV136" s="41"/>
      <c r="AW136" s="41"/>
    </row>
    <row r="137" spans="1:49" x14ac:dyDescent="0.25">
      <c r="A137" s="32">
        <v>132</v>
      </c>
      <c r="B137" s="13" t="s">
        <v>21</v>
      </c>
      <c r="C137" s="11" t="s">
        <v>366</v>
      </c>
      <c r="D137" s="10" t="s">
        <v>983</v>
      </c>
      <c r="E137" s="11" t="s">
        <v>367</v>
      </c>
      <c r="F137" s="34" t="s">
        <v>368</v>
      </c>
      <c r="G137" s="6" t="s">
        <v>369</v>
      </c>
      <c r="H137" s="33">
        <v>410206</v>
      </c>
      <c r="I137" s="90">
        <v>84</v>
      </c>
      <c r="J137" s="90" t="str">
        <f t="shared" si="89"/>
        <v>81-110</v>
      </c>
      <c r="K137" s="91">
        <f t="shared" si="88"/>
        <v>8747.8561594387575</v>
      </c>
      <c r="L137" s="99">
        <v>45</v>
      </c>
      <c r="M137" s="99" t="str">
        <f t="shared" si="90"/>
        <v>31-50</v>
      </c>
      <c r="N137" s="100">
        <f t="shared" si="87"/>
        <v>5073.1976040297868</v>
      </c>
      <c r="O137" s="51">
        <v>65</v>
      </c>
      <c r="P137" s="51" t="str">
        <f t="shared" si="99"/>
        <v>51-80</v>
      </c>
      <c r="Q137" s="51">
        <f t="shared" si="95"/>
        <v>6509</v>
      </c>
      <c r="R137" s="49">
        <v>38</v>
      </c>
      <c r="S137" s="49" t="str">
        <f t="shared" si="96"/>
        <v>31-50</v>
      </c>
      <c r="T137" s="49">
        <f t="shared" si="97"/>
        <v>5073.1976040297868</v>
      </c>
      <c r="U137" s="50">
        <v>32</v>
      </c>
      <c r="V137" s="50" t="str">
        <f t="shared" si="100"/>
        <v>31-50</v>
      </c>
      <c r="W137" s="50">
        <f t="shared" si="98"/>
        <v>5073.1976040297868</v>
      </c>
      <c r="X137" s="143">
        <v>53</v>
      </c>
      <c r="Y137" s="143" t="str">
        <f t="shared" si="101"/>
        <v>51-80</v>
      </c>
      <c r="Z137" s="143">
        <f t="shared" si="102"/>
        <v>6509</v>
      </c>
      <c r="AA137" s="116"/>
      <c r="AB137" s="114" t="str">
        <f t="shared" si="103"/>
        <v>0-20</v>
      </c>
      <c r="AC137" s="114">
        <f t="shared" si="104"/>
        <v>3844.3574443810608</v>
      </c>
      <c r="AD137" s="129"/>
      <c r="AE137" s="129" t="str">
        <f t="shared" si="75"/>
        <v>0-20</v>
      </c>
      <c r="AF137" s="129">
        <f t="shared" si="76"/>
        <v>3844.3574443810608</v>
      </c>
      <c r="AG137" s="139">
        <v>106</v>
      </c>
      <c r="AH137" s="138" t="str">
        <f t="shared" si="83"/>
        <v>81-110</v>
      </c>
      <c r="AI137" s="138">
        <f t="shared" si="84"/>
        <v>8747.8561594387575</v>
      </c>
      <c r="AJ137" s="36">
        <v>27</v>
      </c>
      <c r="AK137" s="36" t="str">
        <f t="shared" si="93"/>
        <v>21-30</v>
      </c>
      <c r="AL137" s="37">
        <f t="shared" si="94"/>
        <v>4508.6394748902885</v>
      </c>
      <c r="AM137" s="37"/>
      <c r="AN137" s="37"/>
      <c r="AO137" s="123"/>
      <c r="AP137" s="133"/>
      <c r="AQ137" s="133" t="str">
        <f t="shared" si="105"/>
        <v>0-20</v>
      </c>
      <c r="AR137" s="133">
        <f t="shared" si="106"/>
        <v>3844.3574443810608</v>
      </c>
      <c r="AS137" s="131"/>
      <c r="AT137" s="131"/>
      <c r="AU137" s="41"/>
      <c r="AV137" s="41"/>
      <c r="AW137" s="41"/>
    </row>
    <row r="138" spans="1:49" x14ac:dyDescent="0.25">
      <c r="A138" s="32">
        <v>133</v>
      </c>
      <c r="B138" s="13" t="s">
        <v>21</v>
      </c>
      <c r="C138" s="11" t="s">
        <v>370</v>
      </c>
      <c r="D138" s="10" t="s">
        <v>984</v>
      </c>
      <c r="E138" s="11" t="s">
        <v>371</v>
      </c>
      <c r="F138" s="34" t="s">
        <v>372</v>
      </c>
      <c r="G138" s="6" t="s">
        <v>175</v>
      </c>
      <c r="H138" s="33">
        <v>402120</v>
      </c>
      <c r="I138" s="90">
        <v>127</v>
      </c>
      <c r="J138" s="90" t="str">
        <f t="shared" si="89"/>
        <v>110-130</v>
      </c>
      <c r="K138" s="91">
        <f t="shared" si="88"/>
        <v>10159.810450732197</v>
      </c>
      <c r="L138" s="35">
        <v>146</v>
      </c>
      <c r="M138" s="35" t="str">
        <f t="shared" si="90"/>
        <v>110-130</v>
      </c>
      <c r="N138" s="36">
        <f t="shared" si="87"/>
        <v>10159.810450732197</v>
      </c>
      <c r="O138" s="51">
        <v>171</v>
      </c>
      <c r="P138" s="51" t="str">
        <f t="shared" si="99"/>
        <v>110-130</v>
      </c>
      <c r="Q138" s="51">
        <f t="shared" si="95"/>
        <v>10159.810450732197</v>
      </c>
      <c r="R138" s="49">
        <v>156</v>
      </c>
      <c r="S138" s="49" t="str">
        <f t="shared" si="96"/>
        <v>110-130</v>
      </c>
      <c r="T138" s="49">
        <f t="shared" si="97"/>
        <v>10159.810450732197</v>
      </c>
      <c r="U138" s="50">
        <v>142</v>
      </c>
      <c r="V138" s="50" t="str">
        <f t="shared" si="100"/>
        <v>110-130</v>
      </c>
      <c r="W138" s="50">
        <f t="shared" si="98"/>
        <v>10159.810450732197</v>
      </c>
      <c r="X138" s="143" t="s">
        <v>1458</v>
      </c>
      <c r="Y138" s="143" t="e">
        <f t="shared" si="101"/>
        <v>#N/A</v>
      </c>
      <c r="Z138" s="143" t="e">
        <f t="shared" si="102"/>
        <v>#N/A</v>
      </c>
      <c r="AA138" s="116"/>
      <c r="AB138" s="114" t="str">
        <f t="shared" si="103"/>
        <v>0-20</v>
      </c>
      <c r="AC138" s="114">
        <f t="shared" si="104"/>
        <v>3844.3574443810608</v>
      </c>
      <c r="AD138" s="129"/>
      <c r="AE138" s="129" t="str">
        <f t="shared" si="75"/>
        <v>0-20</v>
      </c>
      <c r="AF138" s="129">
        <f t="shared" si="76"/>
        <v>3844.3574443810608</v>
      </c>
      <c r="AG138" s="138">
        <v>226</v>
      </c>
      <c r="AH138" s="138" t="str">
        <f t="shared" si="83"/>
        <v>110-130</v>
      </c>
      <c r="AI138" s="138">
        <f t="shared" si="84"/>
        <v>10159.810450732197</v>
      </c>
      <c r="AJ138" s="36">
        <v>140</v>
      </c>
      <c r="AK138" s="36" t="str">
        <f t="shared" si="93"/>
        <v>110-130</v>
      </c>
      <c r="AL138" s="37">
        <f t="shared" si="94"/>
        <v>10159.810450732197</v>
      </c>
      <c r="AM138" s="37"/>
      <c r="AN138" s="37"/>
      <c r="AO138" s="123"/>
      <c r="AP138" s="133"/>
      <c r="AQ138" s="133" t="str">
        <f t="shared" si="105"/>
        <v>0-20</v>
      </c>
      <c r="AR138" s="133">
        <f t="shared" si="106"/>
        <v>3844.3574443810608</v>
      </c>
      <c r="AS138" s="131"/>
      <c r="AT138" s="131"/>
      <c r="AU138" s="41"/>
      <c r="AV138" s="41"/>
      <c r="AW138" s="41"/>
    </row>
    <row r="139" spans="1:49" x14ac:dyDescent="0.25">
      <c r="A139" s="32">
        <v>134</v>
      </c>
      <c r="B139" s="13" t="s">
        <v>21</v>
      </c>
      <c r="C139" s="11" t="s">
        <v>383</v>
      </c>
      <c r="D139" s="10" t="s">
        <v>985</v>
      </c>
      <c r="E139" s="11" t="s">
        <v>540</v>
      </c>
      <c r="F139" s="34" t="s">
        <v>384</v>
      </c>
      <c r="G139" s="6" t="s">
        <v>385</v>
      </c>
      <c r="H139" s="33">
        <v>410208</v>
      </c>
      <c r="I139" s="90">
        <v>85</v>
      </c>
      <c r="J139" s="90" t="str">
        <f t="shared" si="89"/>
        <v>81-110</v>
      </c>
      <c r="K139" s="91">
        <f t="shared" si="88"/>
        <v>8747.8561594387575</v>
      </c>
      <c r="L139" s="35">
        <v>39</v>
      </c>
      <c r="M139" s="35" t="str">
        <f t="shared" si="90"/>
        <v>31-50</v>
      </c>
      <c r="N139" s="36">
        <f t="shared" si="87"/>
        <v>5073.1976040297868</v>
      </c>
      <c r="O139" s="51">
        <v>57</v>
      </c>
      <c r="P139" s="51" t="str">
        <f t="shared" si="99"/>
        <v>51-80</v>
      </c>
      <c r="Q139" s="51">
        <f t="shared" si="95"/>
        <v>6509</v>
      </c>
      <c r="R139" s="49">
        <v>47</v>
      </c>
      <c r="S139" s="49" t="str">
        <f t="shared" si="96"/>
        <v>31-50</v>
      </c>
      <c r="T139" s="49">
        <f t="shared" si="97"/>
        <v>5073.1976040297868</v>
      </c>
      <c r="U139" s="50">
        <v>37</v>
      </c>
      <c r="V139" s="50" t="str">
        <f t="shared" si="100"/>
        <v>31-50</v>
      </c>
      <c r="W139" s="50">
        <f t="shared" si="98"/>
        <v>5073.1976040297868</v>
      </c>
      <c r="X139" s="143">
        <v>44</v>
      </c>
      <c r="Y139" s="143" t="str">
        <f t="shared" si="101"/>
        <v>31-50</v>
      </c>
      <c r="Z139" s="143">
        <f t="shared" si="102"/>
        <v>5073.1976040297868</v>
      </c>
      <c r="AA139" s="116"/>
      <c r="AB139" s="114" t="str">
        <f t="shared" si="103"/>
        <v>0-20</v>
      </c>
      <c r="AC139" s="114">
        <f t="shared" si="104"/>
        <v>3844.3574443810608</v>
      </c>
      <c r="AD139" s="129"/>
      <c r="AE139" s="129" t="str">
        <f t="shared" si="75"/>
        <v>0-20</v>
      </c>
      <c r="AF139" s="129">
        <f t="shared" si="76"/>
        <v>3844.3574443810608</v>
      </c>
      <c r="AG139" s="138">
        <v>108</v>
      </c>
      <c r="AH139" s="138" t="str">
        <f t="shared" si="83"/>
        <v>81-110</v>
      </c>
      <c r="AI139" s="138">
        <f t="shared" si="84"/>
        <v>8747.8561594387575</v>
      </c>
      <c r="AJ139" s="36">
        <v>35</v>
      </c>
      <c r="AK139" s="36" t="str">
        <f t="shared" si="93"/>
        <v>31-50</v>
      </c>
      <c r="AL139" s="37">
        <f t="shared" si="94"/>
        <v>5073.1976040297868</v>
      </c>
      <c r="AM139" s="37"/>
      <c r="AN139" s="37"/>
      <c r="AO139" s="123"/>
      <c r="AP139" s="133"/>
      <c r="AQ139" s="133" t="str">
        <f t="shared" si="105"/>
        <v>0-20</v>
      </c>
      <c r="AR139" s="133">
        <f t="shared" si="106"/>
        <v>3844.3574443810608</v>
      </c>
      <c r="AS139" s="131"/>
      <c r="AT139" s="131"/>
      <c r="AU139" s="41"/>
      <c r="AV139" s="41"/>
      <c r="AW139" s="41"/>
    </row>
    <row r="140" spans="1:49" x14ac:dyDescent="0.25">
      <c r="A140" s="32">
        <v>135</v>
      </c>
      <c r="B140" s="13" t="s">
        <v>21</v>
      </c>
      <c r="C140" s="11" t="s">
        <v>386</v>
      </c>
      <c r="D140" s="10" t="s">
        <v>986</v>
      </c>
      <c r="E140" s="11" t="s">
        <v>387</v>
      </c>
      <c r="F140" s="34" t="s">
        <v>388</v>
      </c>
      <c r="G140" s="6" t="s">
        <v>201</v>
      </c>
      <c r="H140" s="33">
        <v>402201</v>
      </c>
      <c r="I140" s="90">
        <v>102</v>
      </c>
      <c r="J140" s="90" t="str">
        <f t="shared" si="89"/>
        <v>81-110</v>
      </c>
      <c r="K140" s="91">
        <f t="shared" si="88"/>
        <v>8747.8561594387575</v>
      </c>
      <c r="L140" s="35">
        <v>100</v>
      </c>
      <c r="M140" s="35" t="str">
        <f t="shared" si="90"/>
        <v>81-110</v>
      </c>
      <c r="N140" s="36">
        <f t="shared" si="87"/>
        <v>8747.8561594387575</v>
      </c>
      <c r="O140" s="51">
        <v>124</v>
      </c>
      <c r="P140" s="51" t="str">
        <f t="shared" si="99"/>
        <v>110-130</v>
      </c>
      <c r="Q140" s="51">
        <f t="shared" si="95"/>
        <v>10159.810450732197</v>
      </c>
      <c r="R140" s="49">
        <v>106</v>
      </c>
      <c r="S140" s="49" t="str">
        <f t="shared" si="96"/>
        <v>81-110</v>
      </c>
      <c r="T140" s="49">
        <f t="shared" si="97"/>
        <v>8747.8561594387575</v>
      </c>
      <c r="U140" s="50">
        <v>97</v>
      </c>
      <c r="V140" s="50" t="str">
        <f t="shared" si="100"/>
        <v>81-110</v>
      </c>
      <c r="W140" s="50">
        <f t="shared" si="98"/>
        <v>8747.8561594387575</v>
      </c>
      <c r="X140" s="143" t="s">
        <v>1458</v>
      </c>
      <c r="Y140" s="143" t="e">
        <f t="shared" si="101"/>
        <v>#N/A</v>
      </c>
      <c r="Z140" s="143" t="e">
        <f t="shared" si="102"/>
        <v>#N/A</v>
      </c>
      <c r="AA140" s="116"/>
      <c r="AB140" s="114" t="str">
        <f t="shared" si="103"/>
        <v>0-20</v>
      </c>
      <c r="AC140" s="114">
        <f t="shared" si="104"/>
        <v>3844.3574443810608</v>
      </c>
      <c r="AD140" s="129"/>
      <c r="AE140" s="129" t="str">
        <f t="shared" si="75"/>
        <v>0-20</v>
      </c>
      <c r="AF140" s="129">
        <f t="shared" si="76"/>
        <v>3844.3574443810608</v>
      </c>
      <c r="AG140" s="138">
        <v>182</v>
      </c>
      <c r="AH140" s="138" t="str">
        <f t="shared" si="83"/>
        <v>110-130</v>
      </c>
      <c r="AI140" s="138">
        <f t="shared" si="84"/>
        <v>10159.810450732197</v>
      </c>
      <c r="AJ140" s="36">
        <v>96</v>
      </c>
      <c r="AK140" s="36" t="str">
        <f t="shared" si="93"/>
        <v>81-110</v>
      </c>
      <c r="AL140" s="37">
        <f t="shared" si="94"/>
        <v>8747.8561594387575</v>
      </c>
      <c r="AM140" s="37">
        <v>57</v>
      </c>
      <c r="AN140" s="3" t="str">
        <f>VLOOKUP(AM140,$AV$4:$AW$9,2,1)</f>
        <v>51-80</v>
      </c>
      <c r="AO140" s="119">
        <f>VLOOKUP(AN140,$AW$3:$AX$9,2,0)</f>
        <v>6509</v>
      </c>
      <c r="AP140" s="133"/>
      <c r="AQ140" s="133" t="str">
        <f t="shared" si="105"/>
        <v>0-20</v>
      </c>
      <c r="AR140" s="133">
        <f t="shared" si="106"/>
        <v>3844.3574443810608</v>
      </c>
      <c r="AS140" s="131"/>
      <c r="AT140" s="131"/>
      <c r="AU140" s="41"/>
      <c r="AV140" s="41"/>
      <c r="AW140" s="41"/>
    </row>
    <row r="141" spans="1:49" x14ac:dyDescent="0.25">
      <c r="A141" s="32">
        <v>136</v>
      </c>
      <c r="B141" s="13" t="s">
        <v>21</v>
      </c>
      <c r="C141" s="11" t="s">
        <v>389</v>
      </c>
      <c r="D141" s="10" t="s">
        <v>987</v>
      </c>
      <c r="E141" s="11" t="s">
        <v>390</v>
      </c>
      <c r="F141" s="34" t="s">
        <v>391</v>
      </c>
      <c r="G141" s="6" t="s">
        <v>143</v>
      </c>
      <c r="H141" s="33">
        <v>400614</v>
      </c>
      <c r="I141" s="90">
        <v>85</v>
      </c>
      <c r="J141" s="90" t="str">
        <f t="shared" si="89"/>
        <v>81-110</v>
      </c>
      <c r="K141" s="91">
        <f t="shared" si="88"/>
        <v>8747.8561594387575</v>
      </c>
      <c r="L141" s="35">
        <v>26</v>
      </c>
      <c r="M141" s="35" t="str">
        <f t="shared" si="90"/>
        <v>21-30</v>
      </c>
      <c r="N141" s="36">
        <f t="shared" si="87"/>
        <v>4508.6394748902885</v>
      </c>
      <c r="O141" s="51">
        <v>67</v>
      </c>
      <c r="P141" s="51" t="str">
        <f t="shared" si="99"/>
        <v>51-80</v>
      </c>
      <c r="Q141" s="51">
        <f t="shared" si="95"/>
        <v>6509</v>
      </c>
      <c r="R141" s="49">
        <v>38</v>
      </c>
      <c r="S141" s="49" t="str">
        <f t="shared" si="96"/>
        <v>31-50</v>
      </c>
      <c r="T141" s="49">
        <f t="shared" si="97"/>
        <v>5073.1976040297868</v>
      </c>
      <c r="U141" s="50">
        <v>23</v>
      </c>
      <c r="V141" s="50" t="str">
        <f t="shared" si="100"/>
        <v>21-30</v>
      </c>
      <c r="W141" s="50">
        <f t="shared" si="98"/>
        <v>4508.6394748902885</v>
      </c>
      <c r="X141" s="143" t="s">
        <v>1458</v>
      </c>
      <c r="Y141" s="143" t="e">
        <f t="shared" si="101"/>
        <v>#N/A</v>
      </c>
      <c r="Z141" s="143" t="e">
        <f t="shared" si="102"/>
        <v>#N/A</v>
      </c>
      <c r="AA141" s="116"/>
      <c r="AB141" s="114" t="str">
        <f t="shared" si="103"/>
        <v>0-20</v>
      </c>
      <c r="AC141" s="114">
        <f t="shared" si="104"/>
        <v>3844.3574443810608</v>
      </c>
      <c r="AD141" s="129"/>
      <c r="AE141" s="129" t="str">
        <f t="shared" si="75"/>
        <v>0-20</v>
      </c>
      <c r="AF141" s="129">
        <f t="shared" si="76"/>
        <v>3844.3574443810608</v>
      </c>
      <c r="AG141" s="138">
        <v>110</v>
      </c>
      <c r="AH141" s="138" t="str">
        <f t="shared" si="83"/>
        <v>110-130</v>
      </c>
      <c r="AI141" s="138">
        <f t="shared" si="84"/>
        <v>10159.810450732197</v>
      </c>
      <c r="AJ141" s="36">
        <v>21</v>
      </c>
      <c r="AK141" s="36" t="str">
        <f t="shared" si="93"/>
        <v>21-30</v>
      </c>
      <c r="AL141" s="37">
        <f t="shared" si="94"/>
        <v>4508.6394748902885</v>
      </c>
      <c r="AM141" s="37">
        <v>42</v>
      </c>
      <c r="AN141" s="3" t="str">
        <f>VLOOKUP(AM141,$AV$4:$AW$9,2,1)</f>
        <v>31-50</v>
      </c>
      <c r="AO141" s="119">
        <f>VLOOKUP(AN141,$AW$3:$AX$9,2,0)</f>
        <v>5073.1976040297868</v>
      </c>
      <c r="AP141" s="133"/>
      <c r="AQ141" s="133" t="str">
        <f t="shared" si="105"/>
        <v>0-20</v>
      </c>
      <c r="AR141" s="133">
        <f t="shared" si="106"/>
        <v>3844.3574443810608</v>
      </c>
      <c r="AS141" s="131"/>
      <c r="AT141" s="131"/>
      <c r="AU141" s="41"/>
      <c r="AV141" s="41"/>
      <c r="AW141" s="41"/>
    </row>
    <row r="142" spans="1:49" x14ac:dyDescent="0.25">
      <c r="A142" s="32">
        <v>137</v>
      </c>
      <c r="B142" s="13" t="s">
        <v>21</v>
      </c>
      <c r="C142" s="11" t="s">
        <v>502</v>
      </c>
      <c r="D142" s="10" t="s">
        <v>988</v>
      </c>
      <c r="E142" s="11" t="s">
        <v>503</v>
      </c>
      <c r="F142" s="34" t="s">
        <v>504</v>
      </c>
      <c r="G142" s="6" t="s">
        <v>505</v>
      </c>
      <c r="H142" s="33">
        <v>400702</v>
      </c>
      <c r="I142" s="90">
        <v>108</v>
      </c>
      <c r="J142" s="90" t="str">
        <f>VLOOKUP(I142,'[1]M2 Trip Matrix'!$AB$3:$AC$8,2,1)</f>
        <v>81-110</v>
      </c>
      <c r="K142" s="91">
        <f>VLOOKUP(J142,'[1]M2 Trip Matrix'!$AC$2:$AD$8,2,0)</f>
        <v>8454</v>
      </c>
      <c r="L142" s="35">
        <v>50</v>
      </c>
      <c r="M142" s="35" t="str">
        <f>VLOOKUP(L142,'[1]M2 Trip Matrix'!$AB$3:$AC$8,2,1)</f>
        <v>31-50</v>
      </c>
      <c r="N142" s="36">
        <f>VLOOKUP(M142,'[1]M2 Trip Matrix'!$AC$2:$AD$8,2,0)</f>
        <v>4902</v>
      </c>
      <c r="O142" s="51">
        <v>99</v>
      </c>
      <c r="P142" s="51" t="str">
        <f t="shared" si="99"/>
        <v>81-110</v>
      </c>
      <c r="Q142" s="51">
        <f t="shared" si="95"/>
        <v>8747.8561594387575</v>
      </c>
      <c r="R142" s="49">
        <v>58</v>
      </c>
      <c r="S142" s="49" t="str">
        <f t="shared" si="96"/>
        <v>51-80</v>
      </c>
      <c r="T142" s="49">
        <f t="shared" si="97"/>
        <v>6509</v>
      </c>
      <c r="U142" s="50">
        <v>45</v>
      </c>
      <c r="V142" s="50" t="str">
        <f t="shared" si="100"/>
        <v>31-50</v>
      </c>
      <c r="W142" s="50">
        <f t="shared" si="98"/>
        <v>5073.1976040297868</v>
      </c>
      <c r="X142" s="143" t="s">
        <v>1458</v>
      </c>
      <c r="Y142" s="143" t="e">
        <f t="shared" si="101"/>
        <v>#N/A</v>
      </c>
      <c r="Z142" s="143" t="e">
        <f t="shared" si="102"/>
        <v>#N/A</v>
      </c>
      <c r="AA142" s="116"/>
      <c r="AB142" s="114" t="str">
        <f t="shared" si="103"/>
        <v>0-20</v>
      </c>
      <c r="AC142" s="114">
        <f t="shared" si="104"/>
        <v>3844.3574443810608</v>
      </c>
      <c r="AD142" s="129"/>
      <c r="AE142" s="129" t="str">
        <f t="shared" si="75"/>
        <v>0-20</v>
      </c>
      <c r="AF142" s="129">
        <f t="shared" si="76"/>
        <v>3844.3574443810608</v>
      </c>
      <c r="AG142" s="138">
        <v>130</v>
      </c>
      <c r="AH142" s="138" t="str">
        <f t="shared" si="83"/>
        <v>110-130</v>
      </c>
      <c r="AI142" s="138">
        <f t="shared" si="84"/>
        <v>10159.810450732197</v>
      </c>
      <c r="AJ142" s="36">
        <v>48</v>
      </c>
      <c r="AK142" s="36" t="str">
        <f t="shared" si="93"/>
        <v>31-50</v>
      </c>
      <c r="AL142" s="37">
        <f t="shared" si="94"/>
        <v>5073.1976040297868</v>
      </c>
      <c r="AM142" s="37">
        <v>57</v>
      </c>
      <c r="AN142" s="3" t="str">
        <f>VLOOKUP(AM142,$AV$4:$AW$9,2,1)</f>
        <v>51-80</v>
      </c>
      <c r="AO142" s="119">
        <f>VLOOKUP(AN142,$AW$3:$AX$9,2,0)</f>
        <v>6509</v>
      </c>
      <c r="AP142" s="133"/>
      <c r="AQ142" s="133" t="str">
        <f t="shared" si="105"/>
        <v>0-20</v>
      </c>
      <c r="AR142" s="133">
        <f t="shared" si="106"/>
        <v>3844.3574443810608</v>
      </c>
      <c r="AS142" s="131"/>
      <c r="AT142" s="131"/>
      <c r="AU142" s="41"/>
      <c r="AV142" s="41"/>
      <c r="AW142" s="41"/>
    </row>
    <row r="143" spans="1:49" x14ac:dyDescent="0.25">
      <c r="A143" s="32">
        <v>138</v>
      </c>
      <c r="B143" s="13" t="s">
        <v>21</v>
      </c>
      <c r="C143" s="11" t="s">
        <v>502</v>
      </c>
      <c r="D143" s="10" t="s">
        <v>988</v>
      </c>
      <c r="E143" s="11" t="s">
        <v>503</v>
      </c>
      <c r="F143" s="34" t="s">
        <v>579</v>
      </c>
      <c r="G143" s="6" t="s">
        <v>269</v>
      </c>
      <c r="H143" s="33">
        <v>410208</v>
      </c>
      <c r="I143" s="90">
        <v>108</v>
      </c>
      <c r="J143" s="90" t="str">
        <f>VLOOKUP(I143,'[1]M2 Trip Matrix'!$AB$3:$AC$8,2,1)</f>
        <v>81-110</v>
      </c>
      <c r="K143" s="91">
        <f>VLOOKUP(J143,'[1]M2 Trip Matrix'!$AC$2:$AD$8,2,0)</f>
        <v>8454</v>
      </c>
      <c r="L143" s="35">
        <v>50</v>
      </c>
      <c r="M143" s="35" t="str">
        <f>VLOOKUP(L143,'[1]M2 Trip Matrix'!$AB$3:$AC$8,2,1)</f>
        <v>31-50</v>
      </c>
      <c r="N143" s="36">
        <f>VLOOKUP(M143,'[1]M2 Trip Matrix'!$AC$2:$AD$8,2,0)</f>
        <v>4902</v>
      </c>
      <c r="O143" s="51">
        <v>99</v>
      </c>
      <c r="P143" s="51" t="str">
        <f t="shared" si="99"/>
        <v>81-110</v>
      </c>
      <c r="Q143" s="51">
        <f t="shared" si="95"/>
        <v>8747.8561594387575</v>
      </c>
      <c r="R143" s="49">
        <v>25</v>
      </c>
      <c r="S143" s="49" t="str">
        <f t="shared" si="96"/>
        <v>21-30</v>
      </c>
      <c r="T143" s="49">
        <f t="shared" si="97"/>
        <v>4508.6394748902885</v>
      </c>
      <c r="U143" s="50">
        <v>45</v>
      </c>
      <c r="V143" s="50" t="str">
        <f t="shared" si="100"/>
        <v>31-50</v>
      </c>
      <c r="W143" s="50">
        <f t="shared" si="98"/>
        <v>5073.1976040297868</v>
      </c>
      <c r="X143" s="143" t="s">
        <v>1458</v>
      </c>
      <c r="Y143" s="143" t="e">
        <f t="shared" si="101"/>
        <v>#N/A</v>
      </c>
      <c r="Z143" s="143" t="e">
        <f t="shared" si="102"/>
        <v>#N/A</v>
      </c>
      <c r="AA143" s="116"/>
      <c r="AB143" s="114" t="str">
        <f t="shared" si="103"/>
        <v>0-20</v>
      </c>
      <c r="AC143" s="114">
        <f t="shared" si="104"/>
        <v>3844.3574443810608</v>
      </c>
      <c r="AD143" s="129"/>
      <c r="AE143" s="129" t="str">
        <f t="shared" si="75"/>
        <v>0-20</v>
      </c>
      <c r="AF143" s="129">
        <f t="shared" si="76"/>
        <v>3844.3574443810608</v>
      </c>
      <c r="AG143" s="138">
        <v>108</v>
      </c>
      <c r="AH143" s="138" t="str">
        <f t="shared" si="83"/>
        <v>81-110</v>
      </c>
      <c r="AI143" s="138">
        <f t="shared" si="84"/>
        <v>8747.8561594387575</v>
      </c>
      <c r="AJ143" s="36">
        <v>38</v>
      </c>
      <c r="AK143" s="36" t="str">
        <f t="shared" si="93"/>
        <v>31-50</v>
      </c>
      <c r="AL143" s="37">
        <f t="shared" si="94"/>
        <v>5073.1976040297868</v>
      </c>
      <c r="AM143" s="37"/>
      <c r="AN143" s="37"/>
      <c r="AO143" s="123"/>
      <c r="AP143" s="133"/>
      <c r="AQ143" s="133" t="str">
        <f t="shared" si="105"/>
        <v>0-20</v>
      </c>
      <c r="AR143" s="133">
        <f t="shared" si="106"/>
        <v>3844.3574443810608</v>
      </c>
      <c r="AS143" s="131"/>
      <c r="AT143" s="131"/>
      <c r="AU143" s="41"/>
      <c r="AV143" s="41"/>
      <c r="AW143" s="41"/>
    </row>
    <row r="144" spans="1:49" x14ac:dyDescent="0.25">
      <c r="A144" s="32">
        <v>139</v>
      </c>
      <c r="B144" s="13" t="s">
        <v>21</v>
      </c>
      <c r="C144" s="11" t="s">
        <v>392</v>
      </c>
      <c r="D144" s="10">
        <v>0</v>
      </c>
      <c r="E144" s="11" t="s">
        <v>393</v>
      </c>
      <c r="F144" s="34" t="s">
        <v>394</v>
      </c>
      <c r="G144" s="6" t="s">
        <v>369</v>
      </c>
      <c r="H144" s="33">
        <v>410206</v>
      </c>
      <c r="I144" s="90">
        <v>84</v>
      </c>
      <c r="J144" s="90" t="str">
        <f t="shared" ref="J144:J157" si="107">VLOOKUP(I144,$AV$4:$AW$9,2,1)</f>
        <v>81-110</v>
      </c>
      <c r="K144" s="91">
        <f t="shared" ref="K144:K157" si="108">VLOOKUP(J144,$AW$3:$AX$9,2,0)</f>
        <v>8747.8561594387575</v>
      </c>
      <c r="L144" s="35">
        <v>48</v>
      </c>
      <c r="M144" s="35" t="str">
        <f t="shared" ref="M144:M157" si="109">VLOOKUP(L144,$AV$4:$AW$9,2,1)</f>
        <v>31-50</v>
      </c>
      <c r="N144" s="36">
        <f t="shared" ref="N144:N175" si="110">VLOOKUP(M144,$AW$3:$AX$9,2,0)</f>
        <v>5073.1976040297868</v>
      </c>
      <c r="O144" s="51">
        <v>65</v>
      </c>
      <c r="P144" s="51" t="str">
        <f t="shared" si="99"/>
        <v>51-80</v>
      </c>
      <c r="Q144" s="51">
        <f t="shared" si="95"/>
        <v>6509</v>
      </c>
      <c r="R144" s="49">
        <v>39</v>
      </c>
      <c r="S144" s="49" t="str">
        <f t="shared" si="96"/>
        <v>31-50</v>
      </c>
      <c r="T144" s="49">
        <f t="shared" si="97"/>
        <v>5073.1976040297868</v>
      </c>
      <c r="U144" s="50">
        <v>31</v>
      </c>
      <c r="V144" s="50" t="str">
        <f t="shared" si="100"/>
        <v>31-50</v>
      </c>
      <c r="W144" s="50">
        <f t="shared" si="98"/>
        <v>5073.1976040297868</v>
      </c>
      <c r="X144" s="143" t="s">
        <v>1458</v>
      </c>
      <c r="Y144" s="143" t="e">
        <f t="shared" si="101"/>
        <v>#N/A</v>
      </c>
      <c r="Z144" s="143" t="e">
        <f t="shared" si="102"/>
        <v>#N/A</v>
      </c>
      <c r="AA144" s="116"/>
      <c r="AB144" s="114" t="str">
        <f t="shared" si="103"/>
        <v>0-20</v>
      </c>
      <c r="AC144" s="114">
        <f t="shared" si="104"/>
        <v>3844.3574443810608</v>
      </c>
      <c r="AD144" s="129"/>
      <c r="AE144" s="129" t="str">
        <f t="shared" si="75"/>
        <v>0-20</v>
      </c>
      <c r="AF144" s="129">
        <f t="shared" si="76"/>
        <v>3844.3574443810608</v>
      </c>
      <c r="AG144" s="139">
        <v>106</v>
      </c>
      <c r="AH144" s="138" t="str">
        <f t="shared" si="83"/>
        <v>81-110</v>
      </c>
      <c r="AI144" s="138">
        <f t="shared" si="84"/>
        <v>8747.8561594387575</v>
      </c>
      <c r="AJ144" s="36">
        <v>44</v>
      </c>
      <c r="AK144" s="36" t="str">
        <f t="shared" si="93"/>
        <v>31-50</v>
      </c>
      <c r="AL144" s="37">
        <f t="shared" si="94"/>
        <v>5073.1976040297868</v>
      </c>
      <c r="AM144" s="37"/>
      <c r="AN144" s="37"/>
      <c r="AO144" s="123"/>
      <c r="AP144" s="133"/>
      <c r="AQ144" s="133" t="str">
        <f t="shared" si="105"/>
        <v>0-20</v>
      </c>
      <c r="AR144" s="133">
        <f t="shared" si="106"/>
        <v>3844.3574443810608</v>
      </c>
      <c r="AS144" s="131"/>
      <c r="AT144" s="131"/>
      <c r="AU144" s="41"/>
      <c r="AV144" s="41"/>
      <c r="AW144" s="41"/>
    </row>
    <row r="145" spans="1:51" x14ac:dyDescent="0.25">
      <c r="A145" s="32">
        <v>140</v>
      </c>
      <c r="B145" s="13" t="s">
        <v>21</v>
      </c>
      <c r="C145" s="11" t="s">
        <v>483</v>
      </c>
      <c r="D145" s="10" t="s">
        <v>989</v>
      </c>
      <c r="E145" s="11" t="s">
        <v>484</v>
      </c>
      <c r="F145" s="34" t="s">
        <v>490</v>
      </c>
      <c r="G145" s="6" t="s">
        <v>485</v>
      </c>
      <c r="H145" s="33">
        <v>421502</v>
      </c>
      <c r="I145" s="90">
        <v>110</v>
      </c>
      <c r="J145" s="90" t="str">
        <f t="shared" si="107"/>
        <v>110-130</v>
      </c>
      <c r="K145" s="91">
        <f t="shared" si="108"/>
        <v>10159.810450732197</v>
      </c>
      <c r="L145" s="99">
        <v>35</v>
      </c>
      <c r="M145" s="99" t="str">
        <f t="shared" si="109"/>
        <v>31-50</v>
      </c>
      <c r="N145" s="100">
        <f t="shared" si="110"/>
        <v>5073.1976040297868</v>
      </c>
      <c r="O145" s="51">
        <v>52</v>
      </c>
      <c r="P145" s="51" t="str">
        <f t="shared" si="99"/>
        <v>51-80</v>
      </c>
      <c r="Q145" s="51">
        <f t="shared" si="95"/>
        <v>6509</v>
      </c>
      <c r="R145" s="49">
        <v>55</v>
      </c>
      <c r="S145" s="49" t="str">
        <f t="shared" si="96"/>
        <v>51-80</v>
      </c>
      <c r="T145" s="49">
        <f t="shared" si="97"/>
        <v>6509</v>
      </c>
      <c r="U145" s="50">
        <v>45</v>
      </c>
      <c r="V145" s="50" t="str">
        <f t="shared" si="100"/>
        <v>31-50</v>
      </c>
      <c r="W145" s="50">
        <f t="shared" si="98"/>
        <v>5073.1976040297868</v>
      </c>
      <c r="X145" s="143" t="s">
        <v>1458</v>
      </c>
      <c r="Y145" s="143" t="e">
        <f t="shared" si="101"/>
        <v>#N/A</v>
      </c>
      <c r="Z145" s="143" t="e">
        <f t="shared" si="102"/>
        <v>#N/A</v>
      </c>
      <c r="AA145" s="116"/>
      <c r="AB145" s="114" t="str">
        <f t="shared" si="103"/>
        <v>0-20</v>
      </c>
      <c r="AC145" s="114">
        <f t="shared" si="104"/>
        <v>3844.3574443810608</v>
      </c>
      <c r="AD145" s="129"/>
      <c r="AE145" s="129" t="str">
        <f t="shared" si="75"/>
        <v>0-20</v>
      </c>
      <c r="AF145" s="129">
        <f t="shared" si="76"/>
        <v>3844.3574443810608</v>
      </c>
      <c r="AG145" s="138">
        <v>78</v>
      </c>
      <c r="AH145" s="138" t="str">
        <f t="shared" si="83"/>
        <v>51-80</v>
      </c>
      <c r="AI145" s="138">
        <f t="shared" si="84"/>
        <v>6509</v>
      </c>
      <c r="AJ145" s="36">
        <v>60</v>
      </c>
      <c r="AK145" s="36" t="str">
        <f t="shared" si="93"/>
        <v>51-80</v>
      </c>
      <c r="AL145" s="37">
        <f t="shared" si="94"/>
        <v>6509</v>
      </c>
      <c r="AM145" s="37"/>
      <c r="AN145" s="37"/>
      <c r="AO145" s="123"/>
      <c r="AP145" s="133"/>
      <c r="AQ145" s="133" t="str">
        <f t="shared" si="105"/>
        <v>0-20</v>
      </c>
      <c r="AR145" s="133">
        <f t="shared" si="106"/>
        <v>3844.3574443810608</v>
      </c>
      <c r="AS145" s="131"/>
      <c r="AT145" s="131"/>
      <c r="AU145" s="41"/>
      <c r="AV145" s="41"/>
      <c r="AW145" s="41"/>
    </row>
    <row r="146" spans="1:51" x14ac:dyDescent="0.25">
      <c r="A146" s="32">
        <v>141</v>
      </c>
      <c r="B146" s="13" t="s">
        <v>21</v>
      </c>
      <c r="C146" s="11" t="s">
        <v>395</v>
      </c>
      <c r="D146" s="10" t="s">
        <v>990</v>
      </c>
      <c r="E146" s="11" t="s">
        <v>396</v>
      </c>
      <c r="F146" s="34" t="s">
        <v>1470</v>
      </c>
      <c r="G146" s="6" t="s">
        <v>397</v>
      </c>
      <c r="H146" s="33">
        <v>421605</v>
      </c>
      <c r="I146" s="90">
        <v>126</v>
      </c>
      <c r="J146" s="90" t="str">
        <f t="shared" si="107"/>
        <v>110-130</v>
      </c>
      <c r="K146" s="91">
        <f t="shared" si="108"/>
        <v>10159.810450732197</v>
      </c>
      <c r="L146" s="35">
        <v>36</v>
      </c>
      <c r="M146" s="35" t="str">
        <f t="shared" si="109"/>
        <v>31-50</v>
      </c>
      <c r="N146" s="36">
        <f t="shared" si="110"/>
        <v>5073.1976040297868</v>
      </c>
      <c r="O146" s="51">
        <v>52</v>
      </c>
      <c r="P146" s="51" t="str">
        <f t="shared" si="99"/>
        <v>51-80</v>
      </c>
      <c r="Q146" s="51">
        <f t="shared" si="95"/>
        <v>6509</v>
      </c>
      <c r="R146" s="49">
        <v>59</v>
      </c>
      <c r="S146" s="49" t="str">
        <f t="shared" si="96"/>
        <v>51-80</v>
      </c>
      <c r="T146" s="49">
        <f t="shared" si="97"/>
        <v>6509</v>
      </c>
      <c r="U146" s="50">
        <v>53</v>
      </c>
      <c r="V146" s="50" t="str">
        <f t="shared" si="100"/>
        <v>51-80</v>
      </c>
      <c r="W146" s="50">
        <f t="shared" si="98"/>
        <v>6509</v>
      </c>
      <c r="X146" s="143">
        <v>16</v>
      </c>
      <c r="Y146" s="143" t="str">
        <f t="shared" si="101"/>
        <v>0-20</v>
      </c>
      <c r="Z146" s="143">
        <f t="shared" si="102"/>
        <v>3844.3574443810608</v>
      </c>
      <c r="AA146" s="116"/>
      <c r="AB146" s="114" t="str">
        <f t="shared" si="103"/>
        <v>0-20</v>
      </c>
      <c r="AC146" s="114">
        <f t="shared" si="104"/>
        <v>3844.3574443810608</v>
      </c>
      <c r="AD146" s="129"/>
      <c r="AE146" s="129" t="str">
        <f t="shared" si="75"/>
        <v>0-20</v>
      </c>
      <c r="AF146" s="129">
        <f t="shared" si="76"/>
        <v>3844.3574443810608</v>
      </c>
      <c r="AG146" s="138">
        <v>65</v>
      </c>
      <c r="AH146" s="138" t="str">
        <f t="shared" si="83"/>
        <v>51-80</v>
      </c>
      <c r="AI146" s="138">
        <f t="shared" si="84"/>
        <v>6509</v>
      </c>
      <c r="AJ146" s="36">
        <v>60</v>
      </c>
      <c r="AK146" s="36" t="str">
        <f t="shared" si="93"/>
        <v>51-80</v>
      </c>
      <c r="AL146" s="37">
        <f t="shared" si="94"/>
        <v>6509</v>
      </c>
      <c r="AM146" s="37"/>
      <c r="AN146" s="37"/>
      <c r="AO146" s="123"/>
      <c r="AP146" s="133"/>
      <c r="AQ146" s="133" t="str">
        <f t="shared" si="105"/>
        <v>0-20</v>
      </c>
      <c r="AR146" s="133">
        <f t="shared" si="106"/>
        <v>3844.3574443810608</v>
      </c>
      <c r="AS146" s="131"/>
      <c r="AT146" s="131"/>
      <c r="AU146" s="41"/>
      <c r="AV146" s="41"/>
      <c r="AW146" s="41"/>
    </row>
    <row r="147" spans="1:51" x14ac:dyDescent="0.25">
      <c r="A147" s="32">
        <v>142</v>
      </c>
      <c r="B147" s="13" t="s">
        <v>21</v>
      </c>
      <c r="C147" s="11" t="s">
        <v>450</v>
      </c>
      <c r="D147" s="10" t="s">
        <v>991</v>
      </c>
      <c r="E147" s="11" t="s">
        <v>451</v>
      </c>
      <c r="F147" s="34" t="s">
        <v>452</v>
      </c>
      <c r="G147" s="6" t="s">
        <v>197</v>
      </c>
      <c r="H147" s="33">
        <v>421204</v>
      </c>
      <c r="I147" s="90">
        <v>97</v>
      </c>
      <c r="J147" s="90" t="str">
        <f t="shared" si="107"/>
        <v>81-110</v>
      </c>
      <c r="K147" s="91">
        <f t="shared" si="108"/>
        <v>8747.8561594387575</v>
      </c>
      <c r="L147" s="35">
        <v>26</v>
      </c>
      <c r="M147" s="35" t="str">
        <f t="shared" si="109"/>
        <v>21-30</v>
      </c>
      <c r="N147" s="36">
        <f t="shared" si="110"/>
        <v>4508.6394748902885</v>
      </c>
      <c r="O147" s="51">
        <v>50</v>
      </c>
      <c r="P147" s="51" t="str">
        <f t="shared" si="99"/>
        <v>31-50</v>
      </c>
      <c r="Q147" s="51">
        <f t="shared" si="95"/>
        <v>5073.1976040297868</v>
      </c>
      <c r="R147" s="49">
        <v>42</v>
      </c>
      <c r="S147" s="49" t="str">
        <f t="shared" si="96"/>
        <v>31-50</v>
      </c>
      <c r="T147" s="49">
        <f t="shared" si="97"/>
        <v>5073.1976040297868</v>
      </c>
      <c r="U147" s="50">
        <v>39</v>
      </c>
      <c r="V147" s="50" t="str">
        <f t="shared" si="100"/>
        <v>31-50</v>
      </c>
      <c r="W147" s="50">
        <f t="shared" si="98"/>
        <v>5073.1976040297868</v>
      </c>
      <c r="X147" s="143" t="s">
        <v>1458</v>
      </c>
      <c r="Y147" s="143" t="e">
        <f t="shared" si="101"/>
        <v>#N/A</v>
      </c>
      <c r="Z147" s="143" t="e">
        <f t="shared" si="102"/>
        <v>#N/A</v>
      </c>
      <c r="AA147" s="116"/>
      <c r="AB147" s="114" t="str">
        <f t="shared" si="103"/>
        <v>0-20</v>
      </c>
      <c r="AC147" s="114">
        <f t="shared" si="104"/>
        <v>3844.3574443810608</v>
      </c>
      <c r="AD147" s="129"/>
      <c r="AE147" s="129" t="str">
        <f t="shared" si="75"/>
        <v>0-20</v>
      </c>
      <c r="AF147" s="129">
        <f t="shared" si="76"/>
        <v>3844.3574443810608</v>
      </c>
      <c r="AG147" s="138">
        <v>80</v>
      </c>
      <c r="AH147" s="138" t="str">
        <f t="shared" si="83"/>
        <v>51-80</v>
      </c>
      <c r="AI147" s="138">
        <f t="shared" si="84"/>
        <v>6509</v>
      </c>
      <c r="AJ147" s="36">
        <v>39</v>
      </c>
      <c r="AK147" s="36" t="str">
        <f t="shared" si="93"/>
        <v>31-50</v>
      </c>
      <c r="AL147" s="37">
        <f t="shared" si="94"/>
        <v>5073.1976040297868</v>
      </c>
      <c r="AM147" s="37"/>
      <c r="AN147" s="37"/>
      <c r="AO147" s="123"/>
      <c r="AP147" s="133"/>
      <c r="AQ147" s="133" t="str">
        <f t="shared" si="105"/>
        <v>0-20</v>
      </c>
      <c r="AR147" s="133">
        <f t="shared" si="106"/>
        <v>3844.3574443810608</v>
      </c>
      <c r="AS147" s="131"/>
      <c r="AT147" s="131"/>
      <c r="AU147" s="41"/>
      <c r="AV147" s="41"/>
      <c r="AW147" s="41"/>
      <c r="AY147" s="8"/>
    </row>
    <row r="148" spans="1:51" x14ac:dyDescent="0.25">
      <c r="A148" s="32">
        <v>143</v>
      </c>
      <c r="B148" s="13" t="s">
        <v>21</v>
      </c>
      <c r="C148" s="11" t="s">
        <v>398</v>
      </c>
      <c r="D148" s="10" t="s">
        <v>992</v>
      </c>
      <c r="E148" s="11" t="s">
        <v>399</v>
      </c>
      <c r="F148" s="34" t="s">
        <v>400</v>
      </c>
      <c r="G148" s="6" t="s">
        <v>50</v>
      </c>
      <c r="H148" s="33">
        <v>401104</v>
      </c>
      <c r="I148" s="90">
        <v>127</v>
      </c>
      <c r="J148" s="90" t="str">
        <f t="shared" si="107"/>
        <v>110-130</v>
      </c>
      <c r="K148" s="91">
        <f t="shared" si="108"/>
        <v>10159.810450732197</v>
      </c>
      <c r="L148" s="35">
        <v>23</v>
      </c>
      <c r="M148" s="35" t="str">
        <f t="shared" si="109"/>
        <v>21-30</v>
      </c>
      <c r="N148" s="36">
        <f t="shared" si="110"/>
        <v>4508.6394748902885</v>
      </c>
      <c r="O148" s="51">
        <v>26</v>
      </c>
      <c r="P148" s="51" t="str">
        <f t="shared" si="99"/>
        <v>21-30</v>
      </c>
      <c r="Q148" s="51">
        <f t="shared" si="95"/>
        <v>4508.6394748902885</v>
      </c>
      <c r="R148" s="49">
        <v>23</v>
      </c>
      <c r="S148" s="49" t="str">
        <f t="shared" si="96"/>
        <v>21-30</v>
      </c>
      <c r="T148" s="49">
        <f t="shared" si="97"/>
        <v>4508.6394748902885</v>
      </c>
      <c r="U148" s="50">
        <v>32</v>
      </c>
      <c r="V148" s="50" t="str">
        <f t="shared" si="100"/>
        <v>31-50</v>
      </c>
      <c r="W148" s="50">
        <f t="shared" si="98"/>
        <v>5073.1976040297868</v>
      </c>
      <c r="X148" s="143" t="s">
        <v>1458</v>
      </c>
      <c r="Y148" s="143" t="e">
        <f t="shared" si="101"/>
        <v>#N/A</v>
      </c>
      <c r="Z148" s="143" t="e">
        <f t="shared" si="102"/>
        <v>#N/A</v>
      </c>
      <c r="AA148" s="116"/>
      <c r="AB148" s="114" t="str">
        <f t="shared" si="103"/>
        <v>0-20</v>
      </c>
      <c r="AC148" s="114">
        <f t="shared" si="104"/>
        <v>3844.3574443810608</v>
      </c>
      <c r="AD148" s="129"/>
      <c r="AE148" s="129" t="str">
        <f t="shared" si="75"/>
        <v>0-20</v>
      </c>
      <c r="AF148" s="129">
        <f t="shared" si="76"/>
        <v>3844.3574443810608</v>
      </c>
      <c r="AG148" s="138">
        <v>72</v>
      </c>
      <c r="AH148" s="138" t="str">
        <f t="shared" si="83"/>
        <v>51-80</v>
      </c>
      <c r="AI148" s="138">
        <f t="shared" si="84"/>
        <v>6509</v>
      </c>
      <c r="AJ148" s="36">
        <v>40</v>
      </c>
      <c r="AK148" s="36" t="str">
        <f t="shared" si="93"/>
        <v>31-50</v>
      </c>
      <c r="AL148" s="37">
        <f t="shared" si="94"/>
        <v>5073.1976040297868</v>
      </c>
      <c r="AM148" s="37"/>
      <c r="AN148" s="37"/>
      <c r="AO148" s="123"/>
      <c r="AP148" s="133"/>
      <c r="AQ148" s="133" t="str">
        <f t="shared" si="105"/>
        <v>0-20</v>
      </c>
      <c r="AR148" s="133">
        <f t="shared" si="106"/>
        <v>3844.3574443810608</v>
      </c>
      <c r="AS148" s="131"/>
      <c r="AT148" s="131"/>
      <c r="AU148" s="41"/>
      <c r="AV148" s="41"/>
      <c r="AW148" s="41"/>
      <c r="AY148" s="8"/>
    </row>
    <row r="149" spans="1:51" x14ac:dyDescent="0.25">
      <c r="A149" s="32">
        <v>144</v>
      </c>
      <c r="B149" s="13" t="s">
        <v>21</v>
      </c>
      <c r="C149" s="11" t="s">
        <v>401</v>
      </c>
      <c r="D149" s="10" t="s">
        <v>993</v>
      </c>
      <c r="E149" s="11" t="s">
        <v>402</v>
      </c>
      <c r="F149" s="34" t="s">
        <v>403</v>
      </c>
      <c r="G149" s="6" t="s">
        <v>404</v>
      </c>
      <c r="H149" s="33">
        <v>410202</v>
      </c>
      <c r="I149" s="90">
        <v>41</v>
      </c>
      <c r="J149" s="90" t="str">
        <f t="shared" si="107"/>
        <v>31-50</v>
      </c>
      <c r="K149" s="91">
        <f t="shared" si="108"/>
        <v>5073.1976040297868</v>
      </c>
      <c r="L149" s="35">
        <v>64</v>
      </c>
      <c r="M149" s="35" t="str">
        <f t="shared" si="109"/>
        <v>51-80</v>
      </c>
      <c r="N149" s="36">
        <f t="shared" si="110"/>
        <v>6509</v>
      </c>
      <c r="O149" s="51">
        <v>102</v>
      </c>
      <c r="P149" s="51" t="str">
        <f t="shared" si="99"/>
        <v>81-110</v>
      </c>
      <c r="Q149" s="51">
        <f t="shared" si="95"/>
        <v>8747.8561594387575</v>
      </c>
      <c r="R149" s="49">
        <v>83</v>
      </c>
      <c r="S149" s="49" t="str">
        <f t="shared" si="96"/>
        <v>81-110</v>
      </c>
      <c r="T149" s="49">
        <f t="shared" si="97"/>
        <v>8747.8561594387575</v>
      </c>
      <c r="U149" s="50">
        <v>75</v>
      </c>
      <c r="V149" s="50" t="str">
        <f t="shared" si="100"/>
        <v>51-80</v>
      </c>
      <c r="W149" s="50">
        <f t="shared" si="98"/>
        <v>6509</v>
      </c>
      <c r="X149" s="143">
        <v>86</v>
      </c>
      <c r="Y149" s="143" t="str">
        <f t="shared" si="101"/>
        <v>81-110</v>
      </c>
      <c r="Z149" s="143">
        <f t="shared" si="102"/>
        <v>8747.8561594387575</v>
      </c>
      <c r="AA149" s="116"/>
      <c r="AB149" s="114" t="str">
        <f t="shared" si="103"/>
        <v>0-20</v>
      </c>
      <c r="AC149" s="114">
        <f t="shared" si="104"/>
        <v>3844.3574443810608</v>
      </c>
      <c r="AD149" s="129"/>
      <c r="AE149" s="129" t="str">
        <f t="shared" ref="AE149:AE212" si="111">VLOOKUP(AD149,$AV$4:$AW$9,2,1)</f>
        <v>0-20</v>
      </c>
      <c r="AF149" s="129">
        <f t="shared" ref="AF149:AF212" si="112">VLOOKUP(AE149,$AW$3:$AX$9,2,0)</f>
        <v>3844.3574443810608</v>
      </c>
      <c r="AG149" s="138">
        <v>145</v>
      </c>
      <c r="AH149" s="138" t="str">
        <f t="shared" si="83"/>
        <v>110-130</v>
      </c>
      <c r="AI149" s="138">
        <f t="shared" si="84"/>
        <v>10159.810450732197</v>
      </c>
      <c r="AJ149" s="36">
        <v>68</v>
      </c>
      <c r="AK149" s="36" t="str">
        <f t="shared" si="93"/>
        <v>51-80</v>
      </c>
      <c r="AL149" s="37">
        <f t="shared" si="94"/>
        <v>6509</v>
      </c>
      <c r="AM149" s="37">
        <v>4</v>
      </c>
      <c r="AN149" s="50" t="str">
        <f>VLOOKUP(AM149,$AV$3:$AW$9,2,1)</f>
        <v>0-20</v>
      </c>
      <c r="AO149" s="124">
        <f>VLOOKUP(AN149,$AW$3:$AX$9,2,0)</f>
        <v>3844.3574443810608</v>
      </c>
      <c r="AP149" s="133"/>
      <c r="AQ149" s="133" t="str">
        <f t="shared" si="105"/>
        <v>0-20</v>
      </c>
      <c r="AR149" s="133">
        <f t="shared" si="106"/>
        <v>3844.3574443810608</v>
      </c>
      <c r="AS149" s="131"/>
      <c r="AT149" s="131"/>
      <c r="AU149" s="41"/>
      <c r="AV149" s="41"/>
      <c r="AW149" s="41"/>
      <c r="AY149" s="8"/>
    </row>
    <row r="150" spans="1:51" x14ac:dyDescent="0.25">
      <c r="A150" s="32">
        <v>145</v>
      </c>
      <c r="B150" s="13" t="s">
        <v>21</v>
      </c>
      <c r="C150" s="11" t="s">
        <v>405</v>
      </c>
      <c r="D150" s="10" t="s">
        <v>994</v>
      </c>
      <c r="E150" s="11" t="s">
        <v>406</v>
      </c>
      <c r="F150" s="34" t="s">
        <v>407</v>
      </c>
      <c r="G150" s="6" t="s">
        <v>190</v>
      </c>
      <c r="H150" s="33">
        <v>402301</v>
      </c>
      <c r="I150" s="90">
        <v>99</v>
      </c>
      <c r="J150" s="90" t="str">
        <f t="shared" si="107"/>
        <v>81-110</v>
      </c>
      <c r="K150" s="91">
        <f t="shared" si="108"/>
        <v>8747.8561594387575</v>
      </c>
      <c r="L150" s="35">
        <v>192</v>
      </c>
      <c r="M150" s="35" t="str">
        <f t="shared" si="109"/>
        <v>110-130</v>
      </c>
      <c r="N150" s="36">
        <f t="shared" si="110"/>
        <v>10159.810450732197</v>
      </c>
      <c r="O150" s="51">
        <v>217</v>
      </c>
      <c r="P150" s="51" t="str">
        <f t="shared" si="99"/>
        <v>110-130</v>
      </c>
      <c r="Q150" s="51">
        <f t="shared" si="95"/>
        <v>10159.810450732197</v>
      </c>
      <c r="R150" s="49">
        <v>152</v>
      </c>
      <c r="S150" s="49" t="str">
        <f t="shared" si="96"/>
        <v>110-130</v>
      </c>
      <c r="T150" s="49">
        <f t="shared" si="97"/>
        <v>10159.810450732197</v>
      </c>
      <c r="U150" s="50">
        <v>123</v>
      </c>
      <c r="V150" s="50" t="str">
        <f t="shared" si="100"/>
        <v>110-130</v>
      </c>
      <c r="W150" s="50">
        <f t="shared" si="98"/>
        <v>10159.810450732197</v>
      </c>
      <c r="X150" s="143" t="s">
        <v>1458</v>
      </c>
      <c r="Y150" s="143" t="e">
        <f t="shared" si="101"/>
        <v>#N/A</v>
      </c>
      <c r="Z150" s="143" t="e">
        <f t="shared" si="102"/>
        <v>#N/A</v>
      </c>
      <c r="AA150" s="116"/>
      <c r="AB150" s="114" t="str">
        <f t="shared" si="103"/>
        <v>0-20</v>
      </c>
      <c r="AC150" s="114">
        <f t="shared" si="104"/>
        <v>3844.3574443810608</v>
      </c>
      <c r="AD150" s="129"/>
      <c r="AE150" s="129" t="str">
        <f t="shared" si="111"/>
        <v>0-20</v>
      </c>
      <c r="AF150" s="129">
        <f t="shared" si="112"/>
        <v>3844.3574443810608</v>
      </c>
      <c r="AG150" s="138">
        <v>270</v>
      </c>
      <c r="AH150" s="138" t="str">
        <f t="shared" si="83"/>
        <v>110-130</v>
      </c>
      <c r="AI150" s="138">
        <f t="shared" si="84"/>
        <v>10159.810450732197</v>
      </c>
      <c r="AJ150" s="36">
        <v>121</v>
      </c>
      <c r="AK150" s="36" t="str">
        <f t="shared" si="93"/>
        <v>110-130</v>
      </c>
      <c r="AL150" s="37">
        <f t="shared" si="94"/>
        <v>10159.810450732197</v>
      </c>
      <c r="AM150" s="37"/>
      <c r="AN150" s="37"/>
      <c r="AO150" s="123"/>
      <c r="AP150" s="133"/>
      <c r="AQ150" s="133" t="str">
        <f t="shared" si="105"/>
        <v>0-20</v>
      </c>
      <c r="AR150" s="133">
        <f t="shared" si="106"/>
        <v>3844.3574443810608</v>
      </c>
      <c r="AS150" s="131"/>
      <c r="AT150" s="131"/>
      <c r="AU150" s="41"/>
      <c r="AV150" s="41"/>
      <c r="AW150" s="41"/>
    </row>
    <row r="151" spans="1:51" x14ac:dyDescent="0.25">
      <c r="A151" s="32">
        <v>146</v>
      </c>
      <c r="B151" s="13" t="s">
        <v>21</v>
      </c>
      <c r="C151" s="11" t="s">
        <v>791</v>
      </c>
      <c r="D151" s="10" t="s">
        <v>995</v>
      </c>
      <c r="E151" s="11" t="s">
        <v>792</v>
      </c>
      <c r="F151" s="34" t="s">
        <v>836</v>
      </c>
      <c r="G151" s="6" t="s">
        <v>793</v>
      </c>
      <c r="H151" s="33">
        <v>402104</v>
      </c>
      <c r="I151" s="95">
        <v>124</v>
      </c>
      <c r="J151" s="95" t="str">
        <f t="shared" si="107"/>
        <v>110-130</v>
      </c>
      <c r="K151" s="86">
        <f t="shared" si="108"/>
        <v>10159.810450732197</v>
      </c>
      <c r="L151" s="35">
        <v>157</v>
      </c>
      <c r="M151" s="35" t="str">
        <f t="shared" si="109"/>
        <v>110-130</v>
      </c>
      <c r="N151" s="36">
        <f t="shared" si="110"/>
        <v>10159.810450732197</v>
      </c>
      <c r="O151" s="51">
        <v>196</v>
      </c>
      <c r="P151" s="51" t="str">
        <f t="shared" si="99"/>
        <v>110-130</v>
      </c>
      <c r="Q151" s="51">
        <f t="shared" si="95"/>
        <v>10159.810450732197</v>
      </c>
      <c r="R151" s="49">
        <v>162</v>
      </c>
      <c r="S151" s="49" t="str">
        <f t="shared" si="96"/>
        <v>110-130</v>
      </c>
      <c r="T151" s="49">
        <f t="shared" si="97"/>
        <v>10159.810450732197</v>
      </c>
      <c r="U151" s="50">
        <v>153</v>
      </c>
      <c r="V151" s="50" t="str">
        <f t="shared" si="100"/>
        <v>110-130</v>
      </c>
      <c r="W151" s="50">
        <f t="shared" si="98"/>
        <v>10159.810450732197</v>
      </c>
      <c r="X151" s="143" t="s">
        <v>1458</v>
      </c>
      <c r="Y151" s="143" t="e">
        <f t="shared" si="101"/>
        <v>#N/A</v>
      </c>
      <c r="Z151" s="143" t="e">
        <f t="shared" si="102"/>
        <v>#N/A</v>
      </c>
      <c r="AA151" s="116"/>
      <c r="AB151" s="114" t="str">
        <f t="shared" si="103"/>
        <v>0-20</v>
      </c>
      <c r="AC151" s="114">
        <f t="shared" si="104"/>
        <v>3844.3574443810608</v>
      </c>
      <c r="AD151" s="129"/>
      <c r="AE151" s="129" t="str">
        <f t="shared" si="111"/>
        <v>0-20</v>
      </c>
      <c r="AF151" s="129">
        <f t="shared" si="112"/>
        <v>3844.3574443810608</v>
      </c>
      <c r="AG151" s="138">
        <v>230</v>
      </c>
      <c r="AH151" s="138" t="str">
        <f t="shared" si="83"/>
        <v>110-130</v>
      </c>
      <c r="AI151" s="138">
        <f t="shared" si="84"/>
        <v>10159.810450732197</v>
      </c>
      <c r="AJ151" s="36"/>
      <c r="AK151" s="36"/>
      <c r="AL151" s="37"/>
      <c r="AM151" s="37"/>
      <c r="AN151" s="37"/>
      <c r="AO151" s="123"/>
      <c r="AP151" s="133"/>
      <c r="AQ151" s="133" t="str">
        <f t="shared" si="105"/>
        <v>0-20</v>
      </c>
      <c r="AR151" s="133">
        <f t="shared" si="106"/>
        <v>3844.3574443810608</v>
      </c>
      <c r="AS151" s="131"/>
      <c r="AT151" s="131"/>
      <c r="AU151" s="41"/>
      <c r="AV151" s="41"/>
      <c r="AW151" s="41"/>
    </row>
    <row r="152" spans="1:51" x14ac:dyDescent="0.25">
      <c r="A152" s="32">
        <v>147</v>
      </c>
      <c r="B152" s="13" t="s">
        <v>21</v>
      </c>
      <c r="C152" s="11" t="s">
        <v>408</v>
      </c>
      <c r="D152" s="10">
        <v>0</v>
      </c>
      <c r="E152" s="11" t="s">
        <v>409</v>
      </c>
      <c r="F152" s="34" t="s">
        <v>410</v>
      </c>
      <c r="G152" s="6" t="s">
        <v>411</v>
      </c>
      <c r="H152" s="33">
        <v>401501</v>
      </c>
      <c r="I152" s="90">
        <v>202</v>
      </c>
      <c r="J152" s="90" t="str">
        <f t="shared" si="107"/>
        <v>110-130</v>
      </c>
      <c r="K152" s="91">
        <f t="shared" si="108"/>
        <v>10159.810450732197</v>
      </c>
      <c r="L152" s="35">
        <v>98</v>
      </c>
      <c r="M152" s="35" t="str">
        <f t="shared" si="109"/>
        <v>81-110</v>
      </c>
      <c r="N152" s="36">
        <f t="shared" si="110"/>
        <v>8747.8561594387575</v>
      </c>
      <c r="O152" s="51">
        <v>110</v>
      </c>
      <c r="P152" s="51" t="str">
        <f t="shared" si="99"/>
        <v>110-130</v>
      </c>
      <c r="Q152" s="51">
        <f t="shared" si="95"/>
        <v>10159.810450732197</v>
      </c>
      <c r="R152" s="49">
        <v>104</v>
      </c>
      <c r="S152" s="49" t="str">
        <f t="shared" si="96"/>
        <v>81-110</v>
      </c>
      <c r="T152" s="49">
        <f t="shared" si="97"/>
        <v>8747.8561594387575</v>
      </c>
      <c r="U152" s="50">
        <v>97</v>
      </c>
      <c r="V152" s="50" t="str">
        <f t="shared" si="100"/>
        <v>81-110</v>
      </c>
      <c r="W152" s="50">
        <f t="shared" si="98"/>
        <v>8747.8561594387575</v>
      </c>
      <c r="X152" s="143" t="s">
        <v>1458</v>
      </c>
      <c r="Y152" s="143" t="e">
        <f t="shared" si="101"/>
        <v>#N/A</v>
      </c>
      <c r="Z152" s="143" t="e">
        <f t="shared" si="102"/>
        <v>#N/A</v>
      </c>
      <c r="AA152" s="116"/>
      <c r="AB152" s="114" t="str">
        <f t="shared" si="103"/>
        <v>0-20</v>
      </c>
      <c r="AC152" s="114">
        <f t="shared" si="104"/>
        <v>3844.3574443810608</v>
      </c>
      <c r="AD152" s="129"/>
      <c r="AE152" s="129" t="str">
        <f t="shared" si="111"/>
        <v>0-20</v>
      </c>
      <c r="AF152" s="129">
        <f t="shared" si="112"/>
        <v>3844.3574443810608</v>
      </c>
      <c r="AG152" s="138">
        <v>37</v>
      </c>
      <c r="AH152" s="138" t="str">
        <f t="shared" si="83"/>
        <v>31-50</v>
      </c>
      <c r="AI152" s="138">
        <f t="shared" si="84"/>
        <v>5073.1976040297868</v>
      </c>
      <c r="AJ152" s="36">
        <v>110</v>
      </c>
      <c r="AK152" s="36" t="str">
        <f>VLOOKUP(AJ152,$AV$3:$AW$9,2,1)</f>
        <v>110-130</v>
      </c>
      <c r="AL152" s="37">
        <f>VLOOKUP(AK152,$AW$3:$AX$9,2,0)</f>
        <v>10159.810450732197</v>
      </c>
      <c r="AM152" s="37"/>
      <c r="AN152" s="37"/>
      <c r="AO152" s="123"/>
      <c r="AP152" s="133"/>
      <c r="AQ152" s="133" t="str">
        <f t="shared" si="105"/>
        <v>0-20</v>
      </c>
      <c r="AR152" s="133">
        <f t="shared" si="106"/>
        <v>3844.3574443810608</v>
      </c>
      <c r="AS152" s="131"/>
      <c r="AT152" s="131"/>
      <c r="AU152" s="41"/>
      <c r="AV152" s="41"/>
      <c r="AW152" s="41"/>
    </row>
    <row r="153" spans="1:51" x14ac:dyDescent="0.25">
      <c r="A153" s="32">
        <v>148</v>
      </c>
      <c r="B153" s="13" t="s">
        <v>21</v>
      </c>
      <c r="C153" s="11" t="s">
        <v>412</v>
      </c>
      <c r="D153" s="10" t="s">
        <v>996</v>
      </c>
      <c r="E153" s="11" t="s">
        <v>413</v>
      </c>
      <c r="F153" s="34" t="s">
        <v>414</v>
      </c>
      <c r="G153" s="6" t="s">
        <v>127</v>
      </c>
      <c r="H153" s="33">
        <v>401202</v>
      </c>
      <c r="I153" s="90">
        <v>146</v>
      </c>
      <c r="J153" s="90" t="str">
        <f t="shared" si="107"/>
        <v>110-130</v>
      </c>
      <c r="K153" s="91">
        <f t="shared" si="108"/>
        <v>10159.810450732197</v>
      </c>
      <c r="L153" s="35">
        <v>41</v>
      </c>
      <c r="M153" s="35" t="str">
        <f t="shared" si="109"/>
        <v>31-50</v>
      </c>
      <c r="N153" s="36">
        <f t="shared" si="110"/>
        <v>5073.1976040297868</v>
      </c>
      <c r="O153" s="51">
        <v>13.3</v>
      </c>
      <c r="P153" s="51" t="str">
        <f t="shared" si="99"/>
        <v>0-20</v>
      </c>
      <c r="Q153" s="51">
        <f t="shared" si="95"/>
        <v>3844.3574443810608</v>
      </c>
      <c r="R153" s="49">
        <v>48</v>
      </c>
      <c r="S153" s="49" t="str">
        <f t="shared" si="96"/>
        <v>31-50</v>
      </c>
      <c r="T153" s="49">
        <f t="shared" si="97"/>
        <v>5073.1976040297868</v>
      </c>
      <c r="U153" s="50">
        <v>52</v>
      </c>
      <c r="V153" s="50" t="str">
        <f t="shared" si="100"/>
        <v>51-80</v>
      </c>
      <c r="W153" s="50">
        <f t="shared" si="98"/>
        <v>6509</v>
      </c>
      <c r="X153" s="143">
        <v>54</v>
      </c>
      <c r="Y153" s="143" t="str">
        <f t="shared" si="101"/>
        <v>51-80</v>
      </c>
      <c r="Z153" s="143">
        <f t="shared" si="102"/>
        <v>6509</v>
      </c>
      <c r="AA153" s="116">
        <v>43</v>
      </c>
      <c r="AB153" s="114" t="str">
        <f t="shared" si="103"/>
        <v>31-50</v>
      </c>
      <c r="AC153" s="114">
        <f t="shared" si="104"/>
        <v>5073.1976040297868</v>
      </c>
      <c r="AD153" s="129"/>
      <c r="AE153" s="129" t="str">
        <f t="shared" si="111"/>
        <v>0-20</v>
      </c>
      <c r="AF153" s="129">
        <f t="shared" si="112"/>
        <v>3844.3574443810608</v>
      </c>
      <c r="AG153" s="138">
        <v>60</v>
      </c>
      <c r="AH153" s="138" t="str">
        <f t="shared" si="83"/>
        <v>51-80</v>
      </c>
      <c r="AI153" s="138">
        <f t="shared" si="84"/>
        <v>6509</v>
      </c>
      <c r="AJ153" s="36">
        <v>64</v>
      </c>
      <c r="AK153" s="36" t="str">
        <f>VLOOKUP(AJ153,$AV$3:$AW$9,2,1)</f>
        <v>51-80</v>
      </c>
      <c r="AL153" s="37">
        <f>VLOOKUP(AK153,$AW$3:$AX$9,2,0)</f>
        <v>6509</v>
      </c>
      <c r="AM153" s="37">
        <v>105</v>
      </c>
      <c r="AN153" s="50" t="str">
        <f>VLOOKUP(AM153,$AV$3:$AW$9,2,1)</f>
        <v>81-110</v>
      </c>
      <c r="AO153" s="124">
        <f>VLOOKUP(AN153,$AW$3:$AX$9,2,0)</f>
        <v>8747.8561594387575</v>
      </c>
      <c r="AP153" s="133"/>
      <c r="AQ153" s="133" t="str">
        <f t="shared" si="105"/>
        <v>0-20</v>
      </c>
      <c r="AR153" s="133">
        <f t="shared" si="106"/>
        <v>3844.3574443810608</v>
      </c>
      <c r="AS153" s="131"/>
      <c r="AT153" s="131"/>
      <c r="AU153" s="41"/>
      <c r="AV153" s="41"/>
      <c r="AW153" s="41"/>
    </row>
    <row r="154" spans="1:51" x14ac:dyDescent="0.25">
      <c r="A154" s="32">
        <v>149</v>
      </c>
      <c r="B154" s="13" t="s">
        <v>21</v>
      </c>
      <c r="C154" s="11" t="s">
        <v>415</v>
      </c>
      <c r="D154" s="10" t="s">
        <v>997</v>
      </c>
      <c r="E154" s="11" t="s">
        <v>416</v>
      </c>
      <c r="F154" s="34" t="s">
        <v>417</v>
      </c>
      <c r="G154" s="6" t="s">
        <v>418</v>
      </c>
      <c r="H154" s="33">
        <v>401303</v>
      </c>
      <c r="I154" s="90">
        <v>157</v>
      </c>
      <c r="J154" s="90" t="str">
        <f t="shared" si="107"/>
        <v>110-130</v>
      </c>
      <c r="K154" s="91">
        <f t="shared" si="108"/>
        <v>10159.810450732197</v>
      </c>
      <c r="L154" s="35">
        <v>42</v>
      </c>
      <c r="M154" s="35" t="str">
        <f t="shared" si="109"/>
        <v>31-50</v>
      </c>
      <c r="N154" s="36">
        <f t="shared" si="110"/>
        <v>5073.1976040297868</v>
      </c>
      <c r="O154" s="51">
        <v>15</v>
      </c>
      <c r="P154" s="51" t="str">
        <f t="shared" si="99"/>
        <v>0-20</v>
      </c>
      <c r="Q154" s="51">
        <f t="shared" si="95"/>
        <v>3844.3574443810608</v>
      </c>
      <c r="R154" s="49">
        <v>58</v>
      </c>
      <c r="S154" s="49" t="str">
        <f t="shared" si="96"/>
        <v>51-80</v>
      </c>
      <c r="T154" s="49">
        <f t="shared" si="97"/>
        <v>6509</v>
      </c>
      <c r="U154" s="50">
        <v>72</v>
      </c>
      <c r="V154" s="50" t="str">
        <f t="shared" si="100"/>
        <v>51-80</v>
      </c>
      <c r="W154" s="50">
        <f t="shared" si="98"/>
        <v>6509</v>
      </c>
      <c r="X154" s="143" t="s">
        <v>1458</v>
      </c>
      <c r="Y154" s="143" t="e">
        <f t="shared" si="101"/>
        <v>#N/A</v>
      </c>
      <c r="Z154" s="143" t="e">
        <f t="shared" si="102"/>
        <v>#N/A</v>
      </c>
      <c r="AA154" s="116"/>
      <c r="AB154" s="114" t="str">
        <f t="shared" si="103"/>
        <v>0-20</v>
      </c>
      <c r="AC154" s="114">
        <f t="shared" si="104"/>
        <v>3844.3574443810608</v>
      </c>
      <c r="AD154" s="129"/>
      <c r="AE154" s="129" t="str">
        <f t="shared" si="111"/>
        <v>0-20</v>
      </c>
      <c r="AF154" s="129">
        <f t="shared" si="112"/>
        <v>3844.3574443810608</v>
      </c>
      <c r="AG154" s="138">
        <v>57</v>
      </c>
      <c r="AH154" s="138" t="str">
        <f t="shared" si="83"/>
        <v>51-80</v>
      </c>
      <c r="AI154" s="138">
        <f t="shared" si="84"/>
        <v>6509</v>
      </c>
      <c r="AJ154" s="36">
        <v>65</v>
      </c>
      <c r="AK154" s="36" t="str">
        <f>VLOOKUP(AJ154,$AV$3:$AW$9,2,1)</f>
        <v>51-80</v>
      </c>
      <c r="AL154" s="37">
        <f>VLOOKUP(AK154,$AW$3:$AX$9,2,0)</f>
        <v>6509</v>
      </c>
      <c r="AM154" s="37"/>
      <c r="AN154" s="37"/>
      <c r="AO154" s="123"/>
      <c r="AP154" s="133"/>
      <c r="AQ154" s="133" t="str">
        <f t="shared" si="105"/>
        <v>0-20</v>
      </c>
      <c r="AR154" s="133">
        <f t="shared" si="106"/>
        <v>3844.3574443810608</v>
      </c>
      <c r="AS154" s="131"/>
      <c r="AT154" s="131"/>
      <c r="AU154" s="41"/>
      <c r="AV154" s="41"/>
      <c r="AW154" s="41"/>
    </row>
    <row r="155" spans="1:51" x14ac:dyDescent="0.25">
      <c r="A155" s="32"/>
      <c r="B155" s="13"/>
      <c r="C155" s="11"/>
      <c r="D155" t="s">
        <v>1194</v>
      </c>
      <c r="E155" t="s">
        <v>1195</v>
      </c>
      <c r="F155" s="34" t="s">
        <v>1197</v>
      </c>
      <c r="G155" s="6" t="s">
        <v>1196</v>
      </c>
      <c r="H155" s="33">
        <v>401303</v>
      </c>
      <c r="I155" s="90">
        <v>157</v>
      </c>
      <c r="J155" s="90" t="str">
        <f t="shared" si="107"/>
        <v>110-130</v>
      </c>
      <c r="K155" s="91">
        <f t="shared" si="108"/>
        <v>10159.810450732197</v>
      </c>
      <c r="L155" s="35">
        <v>42</v>
      </c>
      <c r="M155" s="35" t="str">
        <f t="shared" si="109"/>
        <v>31-50</v>
      </c>
      <c r="N155" s="36">
        <f t="shared" si="110"/>
        <v>5073.1976040297868</v>
      </c>
      <c r="O155" s="51">
        <v>15</v>
      </c>
      <c r="P155" s="51" t="str">
        <f t="shared" si="99"/>
        <v>0-20</v>
      </c>
      <c r="Q155" s="51">
        <f t="shared" si="95"/>
        <v>3844.3574443810608</v>
      </c>
      <c r="R155" s="49">
        <v>58</v>
      </c>
      <c r="S155" s="49" t="str">
        <f t="shared" si="96"/>
        <v>51-80</v>
      </c>
      <c r="T155" s="49">
        <f t="shared" si="97"/>
        <v>6509</v>
      </c>
      <c r="U155" s="50">
        <v>72</v>
      </c>
      <c r="V155" s="50" t="str">
        <f t="shared" si="100"/>
        <v>51-80</v>
      </c>
      <c r="W155" s="50">
        <f t="shared" si="98"/>
        <v>6509</v>
      </c>
      <c r="X155" s="143">
        <v>52</v>
      </c>
      <c r="Y155" s="143" t="str">
        <f t="shared" si="101"/>
        <v>51-80</v>
      </c>
      <c r="Z155" s="143">
        <f t="shared" si="102"/>
        <v>6509</v>
      </c>
      <c r="AA155" s="116"/>
      <c r="AB155" s="114" t="str">
        <f t="shared" si="103"/>
        <v>0-20</v>
      </c>
      <c r="AC155" s="114">
        <f t="shared" si="104"/>
        <v>3844.3574443810608</v>
      </c>
      <c r="AD155" s="129"/>
      <c r="AE155" s="129" t="str">
        <f t="shared" si="111"/>
        <v>0-20</v>
      </c>
      <c r="AF155" s="129">
        <f t="shared" si="112"/>
        <v>3844.3574443810608</v>
      </c>
      <c r="AG155" s="138">
        <v>57</v>
      </c>
      <c r="AH155" s="138" t="str">
        <f t="shared" si="83"/>
        <v>51-80</v>
      </c>
      <c r="AI155" s="138">
        <f t="shared" si="84"/>
        <v>6509</v>
      </c>
      <c r="AJ155" s="36"/>
      <c r="AK155" s="36"/>
      <c r="AL155" s="37"/>
      <c r="AM155" s="37"/>
      <c r="AN155" s="37"/>
      <c r="AO155" s="123"/>
      <c r="AP155" s="133"/>
      <c r="AQ155" s="133" t="str">
        <f t="shared" si="105"/>
        <v>0-20</v>
      </c>
      <c r="AR155" s="133">
        <f t="shared" si="106"/>
        <v>3844.3574443810608</v>
      </c>
      <c r="AS155" s="131"/>
      <c r="AT155" s="131"/>
      <c r="AU155" s="41"/>
      <c r="AV155" s="41"/>
      <c r="AW155" s="41"/>
    </row>
    <row r="156" spans="1:51" x14ac:dyDescent="0.25">
      <c r="A156" s="32">
        <v>150</v>
      </c>
      <c r="B156" s="13" t="s">
        <v>21</v>
      </c>
      <c r="C156" s="9" t="s">
        <v>573</v>
      </c>
      <c r="D156" s="10" t="s">
        <v>998</v>
      </c>
      <c r="E156" s="9" t="s">
        <v>574</v>
      </c>
      <c r="F156" s="12" t="s">
        <v>796</v>
      </c>
      <c r="G156" s="12" t="s">
        <v>577</v>
      </c>
      <c r="H156" s="12">
        <v>400601</v>
      </c>
      <c r="I156" s="90">
        <v>97</v>
      </c>
      <c r="J156" s="90" t="str">
        <f t="shared" si="107"/>
        <v>81-110</v>
      </c>
      <c r="K156" s="91">
        <f t="shared" si="108"/>
        <v>8747.8561594387575</v>
      </c>
      <c r="L156" s="95">
        <v>5</v>
      </c>
      <c r="M156" s="99" t="str">
        <f t="shared" si="109"/>
        <v>0-20</v>
      </c>
      <c r="N156" s="100">
        <f t="shared" si="110"/>
        <v>3844.3574443810608</v>
      </c>
      <c r="O156" s="20">
        <v>55</v>
      </c>
      <c r="P156" s="51" t="str">
        <f t="shared" si="99"/>
        <v>51-80</v>
      </c>
      <c r="Q156" s="51">
        <f t="shared" si="95"/>
        <v>6509</v>
      </c>
      <c r="R156" s="49">
        <v>58</v>
      </c>
      <c r="S156" s="49" t="str">
        <f t="shared" si="96"/>
        <v>51-80</v>
      </c>
      <c r="T156" s="49">
        <f t="shared" si="97"/>
        <v>6509</v>
      </c>
      <c r="U156" s="22">
        <v>38</v>
      </c>
      <c r="V156" s="50" t="str">
        <f t="shared" si="100"/>
        <v>31-50</v>
      </c>
      <c r="W156" s="50">
        <f t="shared" si="98"/>
        <v>5073.1976040297868</v>
      </c>
      <c r="X156" s="143" t="s">
        <v>1458</v>
      </c>
      <c r="Y156" s="143" t="e">
        <f t="shared" si="101"/>
        <v>#N/A</v>
      </c>
      <c r="Z156" s="143" t="e">
        <f t="shared" si="102"/>
        <v>#N/A</v>
      </c>
      <c r="AA156" s="115"/>
      <c r="AB156" s="114" t="str">
        <f t="shared" si="103"/>
        <v>0-20</v>
      </c>
      <c r="AC156" s="114">
        <f t="shared" si="104"/>
        <v>3844.3574443810608</v>
      </c>
      <c r="AD156" s="129"/>
      <c r="AE156" s="129" t="str">
        <f t="shared" si="111"/>
        <v>0-20</v>
      </c>
      <c r="AF156" s="129">
        <f t="shared" si="112"/>
        <v>3844.3574443810608</v>
      </c>
      <c r="AG156" s="138">
        <v>85</v>
      </c>
      <c r="AH156" s="138" t="str">
        <f t="shared" si="83"/>
        <v>81-110</v>
      </c>
      <c r="AI156" s="138">
        <f t="shared" si="84"/>
        <v>8747.8561594387575</v>
      </c>
      <c r="AJ156" s="22"/>
      <c r="AK156" s="2"/>
      <c r="AL156" s="2"/>
      <c r="AM156" s="2"/>
      <c r="AN156" s="2"/>
      <c r="AO156" s="125"/>
      <c r="AP156" s="133"/>
      <c r="AQ156" s="133" t="str">
        <f t="shared" si="105"/>
        <v>0-20</v>
      </c>
      <c r="AR156" s="133">
        <f t="shared" si="106"/>
        <v>3844.3574443810608</v>
      </c>
      <c r="AS156" s="131"/>
      <c r="AT156" s="131"/>
      <c r="AU156" s="41"/>
      <c r="AV156" s="41"/>
      <c r="AW156" s="41"/>
    </row>
    <row r="157" spans="1:51" x14ac:dyDescent="0.25">
      <c r="A157" s="32">
        <v>151</v>
      </c>
      <c r="B157" s="13" t="s">
        <v>21</v>
      </c>
      <c r="C157" s="9" t="s">
        <v>573</v>
      </c>
      <c r="D157" s="10" t="s">
        <v>998</v>
      </c>
      <c r="E157" s="9" t="s">
        <v>574</v>
      </c>
      <c r="F157" s="9" t="s">
        <v>795</v>
      </c>
      <c r="G157" s="12" t="s">
        <v>794</v>
      </c>
      <c r="H157" s="12">
        <v>421204</v>
      </c>
      <c r="I157" s="90">
        <v>85</v>
      </c>
      <c r="J157" s="90" t="str">
        <f t="shared" si="107"/>
        <v>81-110</v>
      </c>
      <c r="K157" s="91">
        <f t="shared" si="108"/>
        <v>8747.8561594387575</v>
      </c>
      <c r="L157" s="95">
        <v>19</v>
      </c>
      <c r="M157" s="99" t="str">
        <f t="shared" si="109"/>
        <v>0-20</v>
      </c>
      <c r="N157" s="100">
        <f t="shared" si="110"/>
        <v>3844.3574443810608</v>
      </c>
      <c r="O157" s="20">
        <v>55</v>
      </c>
      <c r="P157" s="51" t="str">
        <f t="shared" si="99"/>
        <v>51-80</v>
      </c>
      <c r="Q157" s="51">
        <f t="shared" si="95"/>
        <v>6509</v>
      </c>
      <c r="R157" s="49">
        <v>39</v>
      </c>
      <c r="S157" s="49" t="str">
        <f t="shared" si="96"/>
        <v>31-50</v>
      </c>
      <c r="T157" s="49">
        <f t="shared" si="97"/>
        <v>5073.1976040297868</v>
      </c>
      <c r="U157" s="22">
        <v>30</v>
      </c>
      <c r="V157" s="50" t="str">
        <f t="shared" si="100"/>
        <v>21-30</v>
      </c>
      <c r="W157" s="50">
        <f t="shared" si="98"/>
        <v>4508.6394748902885</v>
      </c>
      <c r="X157" s="143" t="s">
        <v>1458</v>
      </c>
      <c r="Y157" s="143" t="e">
        <f t="shared" si="101"/>
        <v>#N/A</v>
      </c>
      <c r="Z157" s="143" t="e">
        <f t="shared" si="102"/>
        <v>#N/A</v>
      </c>
      <c r="AA157" s="115"/>
      <c r="AB157" s="114" t="str">
        <f t="shared" si="103"/>
        <v>0-20</v>
      </c>
      <c r="AC157" s="114">
        <f t="shared" si="104"/>
        <v>3844.3574443810608</v>
      </c>
      <c r="AD157" s="129"/>
      <c r="AE157" s="129" t="str">
        <f t="shared" si="111"/>
        <v>0-20</v>
      </c>
      <c r="AF157" s="129">
        <f t="shared" si="112"/>
        <v>3844.3574443810608</v>
      </c>
      <c r="AG157" s="138">
        <v>80</v>
      </c>
      <c r="AH157" s="138" t="str">
        <f t="shared" si="83"/>
        <v>51-80</v>
      </c>
      <c r="AI157" s="138">
        <f t="shared" si="84"/>
        <v>6509</v>
      </c>
      <c r="AJ157" s="22"/>
      <c r="AK157" s="2"/>
      <c r="AL157" s="2"/>
      <c r="AM157" s="2"/>
      <c r="AN157" s="2"/>
      <c r="AO157" s="125"/>
      <c r="AP157" s="133"/>
      <c r="AQ157" s="133" t="str">
        <f t="shared" si="105"/>
        <v>0-20</v>
      </c>
      <c r="AR157" s="133">
        <f t="shared" si="106"/>
        <v>3844.3574443810608</v>
      </c>
      <c r="AS157" s="131"/>
      <c r="AT157" s="131"/>
      <c r="AU157" s="41"/>
      <c r="AV157" s="41"/>
      <c r="AW157" s="41"/>
    </row>
    <row r="158" spans="1:51" x14ac:dyDescent="0.25">
      <c r="A158" s="32">
        <v>152</v>
      </c>
      <c r="B158" s="13" t="s">
        <v>21</v>
      </c>
      <c r="C158" s="11" t="s">
        <v>516</v>
      </c>
      <c r="D158" s="10" t="s">
        <v>999</v>
      </c>
      <c r="E158" s="11" t="s">
        <v>517</v>
      </c>
      <c r="F158" s="34" t="s">
        <v>1502</v>
      </c>
      <c r="G158" s="6" t="s">
        <v>171</v>
      </c>
      <c r="H158" s="33">
        <v>421306</v>
      </c>
      <c r="I158" s="90">
        <v>95</v>
      </c>
      <c r="J158" s="90" t="str">
        <f>VLOOKUP(I158,'[1]M2 Trip Matrix'!$AB$3:$AC$8,2,1)</f>
        <v>81-110</v>
      </c>
      <c r="K158" s="91">
        <f>VLOOKUP(J158,'[1]M2 Trip Matrix'!$AC$2:$AD$8,2,0)</f>
        <v>8454</v>
      </c>
      <c r="L158" s="35">
        <v>31</v>
      </c>
      <c r="M158" s="35" t="str">
        <f>VLOOKUP(L158,'[1]M2 Trip Matrix'!$AB$3:$AC$8,2,1)</f>
        <v>31-50</v>
      </c>
      <c r="N158" s="36">
        <f t="shared" si="110"/>
        <v>5073.1976040297868</v>
      </c>
      <c r="O158" s="51">
        <v>54</v>
      </c>
      <c r="P158" s="51" t="str">
        <f t="shared" si="99"/>
        <v>51-80</v>
      </c>
      <c r="Q158" s="51">
        <f t="shared" si="95"/>
        <v>6509</v>
      </c>
      <c r="R158" s="49">
        <v>40</v>
      </c>
      <c r="S158" s="49" t="str">
        <f t="shared" si="96"/>
        <v>31-50</v>
      </c>
      <c r="T158" s="49">
        <f t="shared" si="97"/>
        <v>5073.1976040297868</v>
      </c>
      <c r="U158" s="50">
        <v>37</v>
      </c>
      <c r="V158" s="50" t="str">
        <f t="shared" si="100"/>
        <v>31-50</v>
      </c>
      <c r="W158" s="50">
        <f t="shared" si="98"/>
        <v>5073.1976040297868</v>
      </c>
      <c r="X158" s="143">
        <v>22</v>
      </c>
      <c r="Y158" s="143" t="str">
        <f t="shared" si="101"/>
        <v>21-30</v>
      </c>
      <c r="Z158" s="143">
        <f t="shared" si="102"/>
        <v>4508.6394748902885</v>
      </c>
      <c r="AA158" s="116"/>
      <c r="AB158" s="114" t="str">
        <f t="shared" si="103"/>
        <v>0-20</v>
      </c>
      <c r="AC158" s="114">
        <f t="shared" si="104"/>
        <v>3844.3574443810608</v>
      </c>
      <c r="AD158" s="129"/>
      <c r="AE158" s="129" t="str">
        <f t="shared" si="111"/>
        <v>0-20</v>
      </c>
      <c r="AF158" s="129">
        <f t="shared" si="112"/>
        <v>3844.3574443810608</v>
      </c>
      <c r="AG158" s="139">
        <v>109</v>
      </c>
      <c r="AH158" s="138" t="str">
        <f t="shared" ref="AH158:AH221" si="113">VLOOKUP(AG158,$AV$4:$AW$9,2,1)</f>
        <v>81-110</v>
      </c>
      <c r="AI158" s="138">
        <f t="shared" ref="AI158:AI221" si="114">VLOOKUP(AH158,$AW$3:$AX$9,2,0)</f>
        <v>8747.8561594387575</v>
      </c>
      <c r="AJ158" s="36">
        <v>40</v>
      </c>
      <c r="AK158" s="36" t="str">
        <f t="shared" ref="AK158:AK164" si="115">VLOOKUP(AJ158,$AV$3:$AW$9,2,1)</f>
        <v>31-50</v>
      </c>
      <c r="AL158" s="37">
        <f t="shared" ref="AL158:AL164" si="116">VLOOKUP(AK158,$AW$3:$AX$9,2,0)</f>
        <v>5073.1976040297868</v>
      </c>
      <c r="AM158" s="37"/>
      <c r="AN158" s="37"/>
      <c r="AO158" s="123"/>
      <c r="AP158" s="133"/>
      <c r="AQ158" s="133" t="str">
        <f t="shared" si="105"/>
        <v>0-20</v>
      </c>
      <c r="AR158" s="133">
        <f t="shared" si="106"/>
        <v>3844.3574443810608</v>
      </c>
      <c r="AS158" s="131"/>
      <c r="AT158" s="131"/>
      <c r="AU158" s="41"/>
      <c r="AV158" s="41"/>
      <c r="AW158" s="41"/>
    </row>
    <row r="159" spans="1:51" x14ac:dyDescent="0.25">
      <c r="A159" s="32">
        <v>153</v>
      </c>
      <c r="B159" s="13" t="s">
        <v>21</v>
      </c>
      <c r="C159" s="11" t="s">
        <v>419</v>
      </c>
      <c r="D159" s="10" t="s">
        <v>1000</v>
      </c>
      <c r="E159" s="11" t="s">
        <v>420</v>
      </c>
      <c r="F159" s="34" t="s">
        <v>1480</v>
      </c>
      <c r="G159" s="6" t="s">
        <v>496</v>
      </c>
      <c r="H159" s="33">
        <v>421502</v>
      </c>
      <c r="I159" s="90">
        <v>155</v>
      </c>
      <c r="J159" s="90" t="str">
        <f>VLOOKUP(I159,$AV$4:$AW$9,2,1)</f>
        <v>110-130</v>
      </c>
      <c r="K159" s="91">
        <f>VLOOKUP(J159,$AW$3:$AX$9,2,0)</f>
        <v>10159.810450732197</v>
      </c>
      <c r="L159" s="35">
        <v>31</v>
      </c>
      <c r="M159" s="35" t="str">
        <f>VLOOKUP(L159,$AV$4:$AW$9,2,1)</f>
        <v>31-50</v>
      </c>
      <c r="N159" s="36">
        <f t="shared" si="110"/>
        <v>5073.1976040297868</v>
      </c>
      <c r="O159" s="51">
        <v>55</v>
      </c>
      <c r="P159" s="51" t="str">
        <f t="shared" si="99"/>
        <v>51-80</v>
      </c>
      <c r="Q159" s="51">
        <f t="shared" si="95"/>
        <v>6509</v>
      </c>
      <c r="R159" s="49">
        <v>67</v>
      </c>
      <c r="S159" s="49" t="str">
        <f t="shared" si="96"/>
        <v>51-80</v>
      </c>
      <c r="T159" s="49">
        <f t="shared" si="97"/>
        <v>6509</v>
      </c>
      <c r="U159" s="50">
        <v>63</v>
      </c>
      <c r="V159" s="50" t="str">
        <f t="shared" si="100"/>
        <v>51-80</v>
      </c>
      <c r="W159" s="50">
        <f t="shared" si="98"/>
        <v>6509</v>
      </c>
      <c r="X159" s="143">
        <v>47</v>
      </c>
      <c r="Y159" s="143" t="str">
        <f t="shared" si="101"/>
        <v>31-50</v>
      </c>
      <c r="Z159" s="143">
        <f t="shared" si="102"/>
        <v>5073.1976040297868</v>
      </c>
      <c r="AA159" s="116"/>
      <c r="AB159" s="114" t="str">
        <f t="shared" si="103"/>
        <v>0-20</v>
      </c>
      <c r="AC159" s="114">
        <f t="shared" si="104"/>
        <v>3844.3574443810608</v>
      </c>
      <c r="AD159" s="129"/>
      <c r="AE159" s="129" t="str">
        <f t="shared" si="111"/>
        <v>0-20</v>
      </c>
      <c r="AF159" s="129">
        <f t="shared" si="112"/>
        <v>3844.3574443810608</v>
      </c>
      <c r="AG159" s="138">
        <v>78</v>
      </c>
      <c r="AH159" s="138" t="str">
        <f t="shared" si="113"/>
        <v>51-80</v>
      </c>
      <c r="AI159" s="138">
        <f t="shared" si="114"/>
        <v>6509</v>
      </c>
      <c r="AJ159" s="36">
        <v>55</v>
      </c>
      <c r="AK159" s="36" t="str">
        <f t="shared" si="115"/>
        <v>51-80</v>
      </c>
      <c r="AL159" s="37">
        <f t="shared" si="116"/>
        <v>6509</v>
      </c>
      <c r="AM159" s="37"/>
      <c r="AN159" s="37"/>
      <c r="AO159" s="123"/>
      <c r="AP159" s="133"/>
      <c r="AQ159" s="133" t="str">
        <f t="shared" si="105"/>
        <v>0-20</v>
      </c>
      <c r="AR159" s="133">
        <f t="shared" si="106"/>
        <v>3844.3574443810608</v>
      </c>
      <c r="AS159" s="131"/>
      <c r="AT159" s="131"/>
      <c r="AU159" s="41"/>
      <c r="AV159" s="41"/>
      <c r="AW159" s="41"/>
    </row>
    <row r="160" spans="1:51" x14ac:dyDescent="0.25">
      <c r="A160" s="32">
        <v>154</v>
      </c>
      <c r="B160" s="13" t="s">
        <v>21</v>
      </c>
      <c r="C160" s="11" t="s">
        <v>518</v>
      </c>
      <c r="D160" s="10" t="s">
        <v>1001</v>
      </c>
      <c r="E160" s="11" t="s">
        <v>519</v>
      </c>
      <c r="F160" s="34" t="s">
        <v>520</v>
      </c>
      <c r="G160" s="6" t="s">
        <v>521</v>
      </c>
      <c r="H160" s="33">
        <v>400703</v>
      </c>
      <c r="I160" s="90">
        <v>88</v>
      </c>
      <c r="J160" s="90" t="str">
        <f>VLOOKUP(I160,'[1]M2 Trip Matrix'!$AB$3:$AC$8,2,1)</f>
        <v>81-110</v>
      </c>
      <c r="K160" s="91">
        <f>VLOOKUP(J160,'[1]M2 Trip Matrix'!$AC$2:$AD$8,2,0)</f>
        <v>8454</v>
      </c>
      <c r="L160" s="35">
        <v>21</v>
      </c>
      <c r="M160" s="35" t="str">
        <f>VLOOKUP(L160,'[1]M2 Trip Matrix'!$AB$3:$AC$8,2,1)</f>
        <v>21-30</v>
      </c>
      <c r="N160" s="36">
        <f t="shared" si="110"/>
        <v>4508.6394748902885</v>
      </c>
      <c r="O160" s="51">
        <v>58</v>
      </c>
      <c r="P160" s="51" t="str">
        <f t="shared" si="99"/>
        <v>51-80</v>
      </c>
      <c r="Q160" s="51">
        <f t="shared" si="95"/>
        <v>6509</v>
      </c>
      <c r="R160" s="49">
        <v>30</v>
      </c>
      <c r="S160" s="49" t="str">
        <f t="shared" si="96"/>
        <v>21-30</v>
      </c>
      <c r="T160" s="49">
        <f t="shared" si="97"/>
        <v>4508.6394748902885</v>
      </c>
      <c r="U160" s="50">
        <v>21</v>
      </c>
      <c r="V160" s="50" t="str">
        <f t="shared" si="100"/>
        <v>21-30</v>
      </c>
      <c r="W160" s="50">
        <f t="shared" si="98"/>
        <v>4508.6394748902885</v>
      </c>
      <c r="X160" s="143" t="s">
        <v>1458</v>
      </c>
      <c r="Y160" s="143" t="e">
        <f t="shared" si="101"/>
        <v>#N/A</v>
      </c>
      <c r="Z160" s="143" t="e">
        <f t="shared" si="102"/>
        <v>#N/A</v>
      </c>
      <c r="AA160" s="116"/>
      <c r="AB160" s="114" t="str">
        <f t="shared" si="103"/>
        <v>0-20</v>
      </c>
      <c r="AC160" s="114">
        <f t="shared" si="104"/>
        <v>3844.3574443810608</v>
      </c>
      <c r="AD160" s="129"/>
      <c r="AE160" s="129" t="str">
        <f t="shared" si="111"/>
        <v>0-20</v>
      </c>
      <c r="AF160" s="129">
        <f t="shared" si="112"/>
        <v>3844.3574443810608</v>
      </c>
      <c r="AG160" s="138">
        <v>103</v>
      </c>
      <c r="AH160" s="138" t="str">
        <f t="shared" si="113"/>
        <v>81-110</v>
      </c>
      <c r="AI160" s="138">
        <f t="shared" si="114"/>
        <v>8747.8561594387575</v>
      </c>
      <c r="AJ160" s="36">
        <v>20</v>
      </c>
      <c r="AK160" s="36" t="str">
        <f t="shared" si="115"/>
        <v>0-20</v>
      </c>
      <c r="AL160" s="37">
        <f t="shared" si="116"/>
        <v>3844.3574443810608</v>
      </c>
      <c r="AM160" s="37">
        <v>49</v>
      </c>
      <c r="AN160" s="3" t="str">
        <f>VLOOKUP(AM160,$AV$4:$AW$9,2,1)</f>
        <v>31-50</v>
      </c>
      <c r="AO160" s="119">
        <f>VLOOKUP(AN160,$AW$3:$AX$9,2,0)</f>
        <v>5073.1976040297868</v>
      </c>
      <c r="AP160" s="133"/>
      <c r="AQ160" s="133" t="str">
        <f t="shared" si="105"/>
        <v>0-20</v>
      </c>
      <c r="AR160" s="133">
        <f t="shared" si="106"/>
        <v>3844.3574443810608</v>
      </c>
      <c r="AS160" s="131"/>
      <c r="AT160" s="131"/>
      <c r="AU160" s="41"/>
      <c r="AV160" s="41"/>
      <c r="AW160" s="41"/>
    </row>
    <row r="161" spans="1:49" x14ac:dyDescent="0.25">
      <c r="A161" s="32">
        <v>155</v>
      </c>
      <c r="B161" s="13" t="s">
        <v>21</v>
      </c>
      <c r="C161" s="11" t="s">
        <v>885</v>
      </c>
      <c r="D161" s="10" t="s">
        <v>1002</v>
      </c>
      <c r="E161" s="11" t="s">
        <v>886</v>
      </c>
      <c r="F161" s="34" t="s">
        <v>887</v>
      </c>
      <c r="G161" s="6" t="s">
        <v>521</v>
      </c>
      <c r="H161" s="33">
        <v>400703</v>
      </c>
      <c r="I161" s="90">
        <v>88</v>
      </c>
      <c r="J161" s="90" t="str">
        <f>VLOOKUP(I161,'[1]M2 Trip Matrix'!$AB$3:$AC$8,2,1)</f>
        <v>81-110</v>
      </c>
      <c r="K161" s="91">
        <f>VLOOKUP(J161,'[1]M2 Trip Matrix'!$AC$2:$AD$8,2,0)</f>
        <v>8454</v>
      </c>
      <c r="L161" s="35">
        <v>21</v>
      </c>
      <c r="M161" s="35" t="str">
        <f>VLOOKUP(L161,'[1]M2 Trip Matrix'!$AB$3:$AC$8,2,1)</f>
        <v>21-30</v>
      </c>
      <c r="N161" s="36">
        <f t="shared" si="110"/>
        <v>4508.6394748902885</v>
      </c>
      <c r="O161" s="51">
        <v>58</v>
      </c>
      <c r="P161" s="51" t="str">
        <f t="shared" si="99"/>
        <v>51-80</v>
      </c>
      <c r="Q161" s="51">
        <f t="shared" si="95"/>
        <v>6509</v>
      </c>
      <c r="R161" s="49">
        <v>30</v>
      </c>
      <c r="S161" s="49" t="str">
        <f t="shared" si="96"/>
        <v>21-30</v>
      </c>
      <c r="T161" s="49">
        <f t="shared" si="97"/>
        <v>4508.6394748902885</v>
      </c>
      <c r="U161" s="50">
        <v>21</v>
      </c>
      <c r="V161" s="50" t="str">
        <f t="shared" si="100"/>
        <v>21-30</v>
      </c>
      <c r="W161" s="50">
        <f t="shared" si="98"/>
        <v>4508.6394748902885</v>
      </c>
      <c r="X161" s="143" t="s">
        <v>1458</v>
      </c>
      <c r="Y161" s="143" t="e">
        <f t="shared" si="101"/>
        <v>#N/A</v>
      </c>
      <c r="Z161" s="143" t="e">
        <f t="shared" si="102"/>
        <v>#N/A</v>
      </c>
      <c r="AA161" s="116"/>
      <c r="AB161" s="114" t="str">
        <f t="shared" si="103"/>
        <v>0-20</v>
      </c>
      <c r="AC161" s="114">
        <f t="shared" si="104"/>
        <v>3844.3574443810608</v>
      </c>
      <c r="AD161" s="129"/>
      <c r="AE161" s="129" t="str">
        <f t="shared" si="111"/>
        <v>0-20</v>
      </c>
      <c r="AF161" s="129">
        <f t="shared" si="112"/>
        <v>3844.3574443810608</v>
      </c>
      <c r="AG161" s="138">
        <v>103</v>
      </c>
      <c r="AH161" s="138" t="str">
        <f t="shared" si="113"/>
        <v>81-110</v>
      </c>
      <c r="AI161" s="138">
        <f t="shared" si="114"/>
        <v>8747.8561594387575</v>
      </c>
      <c r="AJ161" s="36">
        <v>20</v>
      </c>
      <c r="AK161" s="36" t="str">
        <f t="shared" si="115"/>
        <v>0-20</v>
      </c>
      <c r="AL161" s="37">
        <f t="shared" si="116"/>
        <v>3844.3574443810608</v>
      </c>
      <c r="AM161" s="37">
        <v>49</v>
      </c>
      <c r="AN161" s="3" t="str">
        <f>VLOOKUP(AM161,$AV$4:$AW$9,2,1)</f>
        <v>31-50</v>
      </c>
      <c r="AO161" s="119">
        <f>VLOOKUP(AN161,$AW$3:$AX$9,2,0)</f>
        <v>5073.1976040297868</v>
      </c>
      <c r="AP161" s="133"/>
      <c r="AQ161" s="133" t="str">
        <f t="shared" si="105"/>
        <v>0-20</v>
      </c>
      <c r="AR161" s="133">
        <f t="shared" si="106"/>
        <v>3844.3574443810608</v>
      </c>
      <c r="AS161" s="131"/>
      <c r="AT161" s="131"/>
      <c r="AU161" s="41"/>
      <c r="AV161" s="41"/>
      <c r="AW161" s="41"/>
    </row>
    <row r="162" spans="1:49" x14ac:dyDescent="0.25">
      <c r="A162" s="32">
        <v>156</v>
      </c>
      <c r="B162" s="13" t="s">
        <v>21</v>
      </c>
      <c r="C162" s="11" t="s">
        <v>422</v>
      </c>
      <c r="D162" s="10">
        <v>0</v>
      </c>
      <c r="E162" s="11" t="s">
        <v>423</v>
      </c>
      <c r="F162" s="34" t="s">
        <v>424</v>
      </c>
      <c r="G162" s="6" t="s">
        <v>421</v>
      </c>
      <c r="H162" s="33">
        <v>421601</v>
      </c>
      <c r="I162" s="90">
        <v>155</v>
      </c>
      <c r="J162" s="90" t="str">
        <f t="shared" ref="J162:J191" si="117">VLOOKUP(I162,$AV$4:$AW$9,2,1)</f>
        <v>110-130</v>
      </c>
      <c r="K162" s="91">
        <f t="shared" ref="K162:K193" si="118">VLOOKUP(J162,$AW$3:$AX$9,2,0)</f>
        <v>10159.810450732197</v>
      </c>
      <c r="L162" s="35">
        <v>62</v>
      </c>
      <c r="M162" s="35" t="str">
        <f t="shared" ref="M162:M193" si="119">VLOOKUP(L162,$AV$4:$AW$9,2,1)</f>
        <v>51-80</v>
      </c>
      <c r="N162" s="36">
        <f t="shared" si="110"/>
        <v>6509</v>
      </c>
      <c r="O162" s="51">
        <v>50.7</v>
      </c>
      <c r="P162" s="51" t="str">
        <f t="shared" si="99"/>
        <v>31-50</v>
      </c>
      <c r="Q162" s="51">
        <f t="shared" si="95"/>
        <v>5073.1976040297868</v>
      </c>
      <c r="R162" s="49">
        <v>64</v>
      </c>
      <c r="S162" s="49" t="str">
        <f t="shared" si="96"/>
        <v>51-80</v>
      </c>
      <c r="T162" s="49">
        <f t="shared" si="97"/>
        <v>6509</v>
      </c>
      <c r="U162" s="50">
        <v>62</v>
      </c>
      <c r="V162" s="50" t="str">
        <f t="shared" si="100"/>
        <v>51-80</v>
      </c>
      <c r="W162" s="50">
        <f t="shared" si="98"/>
        <v>6509</v>
      </c>
      <c r="X162" s="143" t="s">
        <v>1458</v>
      </c>
      <c r="Y162" s="143" t="e">
        <f t="shared" si="101"/>
        <v>#N/A</v>
      </c>
      <c r="Z162" s="143" t="e">
        <f t="shared" si="102"/>
        <v>#N/A</v>
      </c>
      <c r="AA162" s="116"/>
      <c r="AB162" s="114" t="str">
        <f t="shared" si="103"/>
        <v>0-20</v>
      </c>
      <c r="AC162" s="114">
        <f t="shared" si="104"/>
        <v>3844.3574443810608</v>
      </c>
      <c r="AD162" s="129"/>
      <c r="AE162" s="129" t="str">
        <f t="shared" si="111"/>
        <v>0-20</v>
      </c>
      <c r="AF162" s="129">
        <f t="shared" si="112"/>
        <v>3844.3574443810608</v>
      </c>
      <c r="AG162" s="138">
        <v>60</v>
      </c>
      <c r="AH162" s="138" t="str">
        <f t="shared" si="113"/>
        <v>51-80</v>
      </c>
      <c r="AI162" s="138">
        <f t="shared" si="114"/>
        <v>6509</v>
      </c>
      <c r="AJ162" s="36">
        <v>75</v>
      </c>
      <c r="AK162" s="36" t="str">
        <f t="shared" si="115"/>
        <v>51-80</v>
      </c>
      <c r="AL162" s="37">
        <f t="shared" si="116"/>
        <v>6509</v>
      </c>
      <c r="AM162" s="37"/>
      <c r="AN162" s="37"/>
      <c r="AO162" s="123"/>
      <c r="AP162" s="133"/>
      <c r="AQ162" s="133" t="str">
        <f t="shared" si="105"/>
        <v>0-20</v>
      </c>
      <c r="AR162" s="133">
        <f t="shared" si="106"/>
        <v>3844.3574443810608</v>
      </c>
      <c r="AS162" s="131"/>
      <c r="AT162" s="131"/>
      <c r="AU162" s="41"/>
      <c r="AV162" s="41"/>
      <c r="AW162" s="41"/>
    </row>
    <row r="163" spans="1:49" x14ac:dyDescent="0.25">
      <c r="A163" s="32">
        <v>157</v>
      </c>
      <c r="B163" s="13" t="s">
        <v>21</v>
      </c>
      <c r="C163" s="11" t="s">
        <v>425</v>
      </c>
      <c r="D163" s="10" t="s">
        <v>1003</v>
      </c>
      <c r="E163" s="11" t="s">
        <v>426</v>
      </c>
      <c r="F163" s="34" t="s">
        <v>427</v>
      </c>
      <c r="G163" s="6" t="s">
        <v>428</v>
      </c>
      <c r="H163" s="33">
        <v>402201</v>
      </c>
      <c r="I163" s="90">
        <v>102</v>
      </c>
      <c r="J163" s="90" t="str">
        <f t="shared" si="117"/>
        <v>81-110</v>
      </c>
      <c r="K163" s="91">
        <f t="shared" si="118"/>
        <v>8747.8561594387575</v>
      </c>
      <c r="L163" s="35">
        <v>100</v>
      </c>
      <c r="M163" s="35" t="str">
        <f t="shared" si="119"/>
        <v>81-110</v>
      </c>
      <c r="N163" s="36">
        <f t="shared" si="110"/>
        <v>8747.8561594387575</v>
      </c>
      <c r="O163" s="51">
        <v>124</v>
      </c>
      <c r="P163" s="51" t="str">
        <f t="shared" si="99"/>
        <v>110-130</v>
      </c>
      <c r="Q163" s="51">
        <f t="shared" si="95"/>
        <v>10159.810450732197</v>
      </c>
      <c r="R163" s="49">
        <v>106</v>
      </c>
      <c r="S163" s="49" t="str">
        <f t="shared" si="96"/>
        <v>81-110</v>
      </c>
      <c r="T163" s="49">
        <f t="shared" si="97"/>
        <v>8747.8561594387575</v>
      </c>
      <c r="U163" s="50">
        <v>73</v>
      </c>
      <c r="V163" s="50" t="str">
        <f t="shared" si="100"/>
        <v>51-80</v>
      </c>
      <c r="W163" s="50">
        <f t="shared" si="98"/>
        <v>6509</v>
      </c>
      <c r="X163" s="143" t="s">
        <v>1458</v>
      </c>
      <c r="Y163" s="143" t="e">
        <f t="shared" si="101"/>
        <v>#N/A</v>
      </c>
      <c r="Z163" s="143" t="e">
        <f t="shared" si="102"/>
        <v>#N/A</v>
      </c>
      <c r="AA163" s="116"/>
      <c r="AB163" s="114" t="str">
        <f t="shared" si="103"/>
        <v>0-20</v>
      </c>
      <c r="AC163" s="114">
        <f t="shared" si="104"/>
        <v>3844.3574443810608</v>
      </c>
      <c r="AD163" s="129"/>
      <c r="AE163" s="129" t="str">
        <f t="shared" si="111"/>
        <v>0-20</v>
      </c>
      <c r="AF163" s="129">
        <f t="shared" si="112"/>
        <v>3844.3574443810608</v>
      </c>
      <c r="AG163" s="138">
        <v>182</v>
      </c>
      <c r="AH163" s="138" t="str">
        <f t="shared" si="113"/>
        <v>110-130</v>
      </c>
      <c r="AI163" s="138">
        <f t="shared" si="114"/>
        <v>10159.810450732197</v>
      </c>
      <c r="AJ163" s="36">
        <v>71</v>
      </c>
      <c r="AK163" s="36" t="str">
        <f t="shared" si="115"/>
        <v>51-80</v>
      </c>
      <c r="AL163" s="37">
        <f t="shared" si="116"/>
        <v>6509</v>
      </c>
      <c r="AM163" s="37"/>
      <c r="AN163" s="37"/>
      <c r="AO163" s="123"/>
      <c r="AP163" s="133"/>
      <c r="AQ163" s="133" t="str">
        <f t="shared" si="105"/>
        <v>0-20</v>
      </c>
      <c r="AR163" s="133">
        <f t="shared" si="106"/>
        <v>3844.3574443810608</v>
      </c>
      <c r="AS163" s="131"/>
      <c r="AT163" s="131"/>
      <c r="AU163" s="41"/>
      <c r="AV163" s="41"/>
      <c r="AW163" s="41"/>
    </row>
    <row r="164" spans="1:49" x14ac:dyDescent="0.25">
      <c r="A164" s="32">
        <v>158</v>
      </c>
      <c r="B164" s="13" t="s">
        <v>21</v>
      </c>
      <c r="C164" s="11" t="s">
        <v>432</v>
      </c>
      <c r="D164" s="10" t="s">
        <v>1004</v>
      </c>
      <c r="E164" s="11" t="s">
        <v>433</v>
      </c>
      <c r="F164" s="34" t="s">
        <v>434</v>
      </c>
      <c r="G164" s="6" t="s">
        <v>33</v>
      </c>
      <c r="H164" s="33">
        <v>401101</v>
      </c>
      <c r="I164" s="90">
        <v>132</v>
      </c>
      <c r="J164" s="90" t="str">
        <f t="shared" si="117"/>
        <v>110-130</v>
      </c>
      <c r="K164" s="91">
        <f t="shared" si="118"/>
        <v>10159.810450732197</v>
      </c>
      <c r="L164" s="35">
        <v>27</v>
      </c>
      <c r="M164" s="35" t="str">
        <f t="shared" si="119"/>
        <v>21-30</v>
      </c>
      <c r="N164" s="36">
        <f t="shared" si="110"/>
        <v>4508.6394748902885</v>
      </c>
      <c r="O164" s="51">
        <v>32</v>
      </c>
      <c r="P164" s="51" t="str">
        <f t="shared" si="99"/>
        <v>31-50</v>
      </c>
      <c r="Q164" s="51">
        <f t="shared" si="95"/>
        <v>5073.1976040297868</v>
      </c>
      <c r="R164" s="49">
        <v>28</v>
      </c>
      <c r="S164" s="49" t="str">
        <f t="shared" si="96"/>
        <v>21-30</v>
      </c>
      <c r="T164" s="49">
        <f t="shared" si="97"/>
        <v>4508.6394748902885</v>
      </c>
      <c r="U164" s="50">
        <v>31</v>
      </c>
      <c r="V164" s="50" t="str">
        <f t="shared" si="100"/>
        <v>31-50</v>
      </c>
      <c r="W164" s="50">
        <f t="shared" si="98"/>
        <v>5073.1976040297868</v>
      </c>
      <c r="X164" s="143" t="s">
        <v>1458</v>
      </c>
      <c r="Y164" s="143" t="e">
        <f t="shared" si="101"/>
        <v>#N/A</v>
      </c>
      <c r="Z164" s="143" t="e">
        <f t="shared" si="102"/>
        <v>#N/A</v>
      </c>
      <c r="AA164" s="116"/>
      <c r="AB164" s="114" t="str">
        <f t="shared" si="103"/>
        <v>0-20</v>
      </c>
      <c r="AC164" s="114">
        <f t="shared" si="104"/>
        <v>3844.3574443810608</v>
      </c>
      <c r="AD164" s="129"/>
      <c r="AE164" s="129" t="str">
        <f t="shared" si="111"/>
        <v>0-20</v>
      </c>
      <c r="AF164" s="129">
        <f t="shared" si="112"/>
        <v>3844.3574443810608</v>
      </c>
      <c r="AG164" s="138">
        <v>78</v>
      </c>
      <c r="AH164" s="138" t="str">
        <f t="shared" si="113"/>
        <v>51-80</v>
      </c>
      <c r="AI164" s="138">
        <f t="shared" si="114"/>
        <v>6509</v>
      </c>
      <c r="AJ164" s="36">
        <v>44</v>
      </c>
      <c r="AK164" s="36" t="str">
        <f t="shared" si="115"/>
        <v>31-50</v>
      </c>
      <c r="AL164" s="37">
        <f t="shared" si="116"/>
        <v>5073.1976040297868</v>
      </c>
      <c r="AM164" s="37">
        <v>94</v>
      </c>
      <c r="AN164" s="50" t="str">
        <f>VLOOKUP(AM164,$AV$3:$AW$9,2,1)</f>
        <v>81-110</v>
      </c>
      <c r="AO164" s="124">
        <f>VLOOKUP(AN164,$AW$3:$AX$9,2,0)</f>
        <v>8747.8561594387575</v>
      </c>
      <c r="AP164" s="133"/>
      <c r="AQ164" s="133" t="str">
        <f t="shared" si="105"/>
        <v>0-20</v>
      </c>
      <c r="AR164" s="133">
        <f t="shared" si="106"/>
        <v>3844.3574443810608</v>
      </c>
      <c r="AS164" s="131"/>
      <c r="AT164" s="131"/>
      <c r="AU164" s="41"/>
      <c r="AV164" s="41"/>
      <c r="AW164" s="41"/>
    </row>
    <row r="165" spans="1:49" x14ac:dyDescent="0.25">
      <c r="A165" s="32"/>
      <c r="B165" s="13"/>
      <c r="C165" s="11"/>
      <c r="D165" s="10" t="s">
        <v>1117</v>
      </c>
      <c r="E165" s="11" t="s">
        <v>1118</v>
      </c>
      <c r="F165" s="34" t="s">
        <v>1119</v>
      </c>
      <c r="G165" s="6" t="s">
        <v>1120</v>
      </c>
      <c r="H165" s="33">
        <v>401105</v>
      </c>
      <c r="I165" s="90">
        <v>132</v>
      </c>
      <c r="J165" s="90" t="str">
        <f t="shared" si="117"/>
        <v>110-130</v>
      </c>
      <c r="K165" s="91">
        <f t="shared" si="118"/>
        <v>10159.810450732197</v>
      </c>
      <c r="L165" s="35">
        <v>29</v>
      </c>
      <c r="M165" s="35" t="str">
        <f t="shared" si="119"/>
        <v>21-30</v>
      </c>
      <c r="N165" s="36">
        <f t="shared" si="110"/>
        <v>4508.6394748902885</v>
      </c>
      <c r="O165" s="51">
        <v>32</v>
      </c>
      <c r="P165" s="51" t="str">
        <f t="shared" si="99"/>
        <v>31-50</v>
      </c>
      <c r="Q165" s="51">
        <f t="shared" si="95"/>
        <v>5073.1976040297868</v>
      </c>
      <c r="R165" s="49">
        <v>24</v>
      </c>
      <c r="S165" s="49" t="str">
        <f t="shared" si="96"/>
        <v>21-30</v>
      </c>
      <c r="T165" s="49">
        <f t="shared" si="97"/>
        <v>4508.6394748902885</v>
      </c>
      <c r="U165" s="50">
        <v>34</v>
      </c>
      <c r="V165" s="50" t="str">
        <f t="shared" si="100"/>
        <v>31-50</v>
      </c>
      <c r="W165" s="50">
        <f t="shared" si="98"/>
        <v>5073.1976040297868</v>
      </c>
      <c r="X165" s="143">
        <v>49</v>
      </c>
      <c r="Y165" s="143" t="str">
        <f t="shared" si="101"/>
        <v>31-50</v>
      </c>
      <c r="Z165" s="143">
        <f t="shared" si="102"/>
        <v>5073.1976040297868</v>
      </c>
      <c r="AA165" s="116">
        <v>20</v>
      </c>
      <c r="AB165" s="114" t="str">
        <f t="shared" si="103"/>
        <v>0-20</v>
      </c>
      <c r="AC165" s="114">
        <f t="shared" si="104"/>
        <v>3844.3574443810608</v>
      </c>
      <c r="AD165" s="129">
        <v>38</v>
      </c>
      <c r="AE165" s="129" t="str">
        <f t="shared" si="111"/>
        <v>31-50</v>
      </c>
      <c r="AF165" s="129">
        <f t="shared" si="112"/>
        <v>5073.1976040297868</v>
      </c>
      <c r="AG165" s="138">
        <v>76</v>
      </c>
      <c r="AH165" s="138" t="str">
        <f t="shared" si="113"/>
        <v>51-80</v>
      </c>
      <c r="AI165" s="138">
        <f t="shared" si="114"/>
        <v>6509</v>
      </c>
      <c r="AJ165" s="36"/>
      <c r="AK165" s="36"/>
      <c r="AL165" s="37"/>
      <c r="AM165" s="37"/>
      <c r="AN165" s="50"/>
      <c r="AO165" s="124"/>
      <c r="AP165" s="133"/>
      <c r="AQ165" s="133" t="str">
        <f t="shared" si="105"/>
        <v>0-20</v>
      </c>
      <c r="AR165" s="133">
        <f t="shared" si="106"/>
        <v>3844.3574443810608</v>
      </c>
      <c r="AS165" s="131"/>
      <c r="AT165" s="131"/>
      <c r="AU165" s="41"/>
      <c r="AV165" s="41"/>
      <c r="AW165" s="41"/>
    </row>
    <row r="166" spans="1:49" x14ac:dyDescent="0.25">
      <c r="A166" s="32">
        <v>159</v>
      </c>
      <c r="B166" s="13" t="s">
        <v>21</v>
      </c>
      <c r="C166" s="11" t="s">
        <v>429</v>
      </c>
      <c r="D166" s="10">
        <v>0</v>
      </c>
      <c r="E166" s="11" t="s">
        <v>430</v>
      </c>
      <c r="F166" s="34" t="s">
        <v>431</v>
      </c>
      <c r="G166" s="6" t="s">
        <v>183</v>
      </c>
      <c r="H166" s="33">
        <v>410202</v>
      </c>
      <c r="I166" s="90">
        <v>48</v>
      </c>
      <c r="J166" s="90" t="str">
        <f t="shared" si="117"/>
        <v>31-50</v>
      </c>
      <c r="K166" s="91">
        <f t="shared" si="118"/>
        <v>5073.1976040297868</v>
      </c>
      <c r="L166" s="35">
        <v>64</v>
      </c>
      <c r="M166" s="35" t="str">
        <f t="shared" si="119"/>
        <v>51-80</v>
      </c>
      <c r="N166" s="36">
        <f t="shared" si="110"/>
        <v>6509</v>
      </c>
      <c r="O166" s="51">
        <v>89</v>
      </c>
      <c r="P166" s="51" t="str">
        <f t="shared" si="99"/>
        <v>81-110</v>
      </c>
      <c r="Q166" s="51">
        <f t="shared" si="95"/>
        <v>8747.8561594387575</v>
      </c>
      <c r="R166" s="49">
        <v>83</v>
      </c>
      <c r="S166" s="49" t="str">
        <f t="shared" si="96"/>
        <v>81-110</v>
      </c>
      <c r="T166" s="49">
        <f t="shared" si="97"/>
        <v>8747.8561594387575</v>
      </c>
      <c r="U166" s="50">
        <v>62</v>
      </c>
      <c r="V166" s="50" t="str">
        <f t="shared" si="100"/>
        <v>51-80</v>
      </c>
      <c r="W166" s="50">
        <f t="shared" si="98"/>
        <v>6509</v>
      </c>
      <c r="X166" s="143" t="s">
        <v>1458</v>
      </c>
      <c r="Y166" s="143" t="e">
        <f t="shared" si="101"/>
        <v>#N/A</v>
      </c>
      <c r="Z166" s="143" t="e">
        <f t="shared" si="102"/>
        <v>#N/A</v>
      </c>
      <c r="AA166" s="116"/>
      <c r="AB166" s="114" t="str">
        <f t="shared" si="103"/>
        <v>0-20</v>
      </c>
      <c r="AC166" s="114">
        <f t="shared" si="104"/>
        <v>3844.3574443810608</v>
      </c>
      <c r="AD166" s="129"/>
      <c r="AE166" s="129" t="str">
        <f t="shared" si="111"/>
        <v>0-20</v>
      </c>
      <c r="AF166" s="129">
        <f t="shared" si="112"/>
        <v>3844.3574443810608</v>
      </c>
      <c r="AG166" s="138">
        <v>145</v>
      </c>
      <c r="AH166" s="138" t="str">
        <f t="shared" si="113"/>
        <v>110-130</v>
      </c>
      <c r="AI166" s="138">
        <f t="shared" si="114"/>
        <v>10159.810450732197</v>
      </c>
      <c r="AJ166" s="36">
        <v>61</v>
      </c>
      <c r="AK166" s="36" t="str">
        <f>VLOOKUP(AJ166,$AV$3:$AW$9,2,1)</f>
        <v>51-80</v>
      </c>
      <c r="AL166" s="37">
        <f>VLOOKUP(AK166,$AW$3:$AX$9,2,0)</f>
        <v>6509</v>
      </c>
      <c r="AM166" s="37"/>
      <c r="AN166" s="37"/>
      <c r="AO166" s="123"/>
      <c r="AP166" s="133"/>
      <c r="AQ166" s="133" t="str">
        <f t="shared" si="105"/>
        <v>0-20</v>
      </c>
      <c r="AR166" s="133">
        <f t="shared" si="106"/>
        <v>3844.3574443810608</v>
      </c>
      <c r="AS166" s="131"/>
      <c r="AT166" s="131"/>
      <c r="AU166" s="41"/>
      <c r="AV166" s="41"/>
      <c r="AW166" s="41"/>
    </row>
    <row r="167" spans="1:49" x14ac:dyDescent="0.25">
      <c r="A167" s="32">
        <v>160</v>
      </c>
      <c r="B167" s="13" t="s">
        <v>21</v>
      </c>
      <c r="C167" s="11" t="s">
        <v>435</v>
      </c>
      <c r="D167" s="10" t="s">
        <v>1005</v>
      </c>
      <c r="E167" s="11" t="s">
        <v>467</v>
      </c>
      <c r="F167" s="34" t="s">
        <v>436</v>
      </c>
      <c r="G167" s="6" t="s">
        <v>437</v>
      </c>
      <c r="H167" s="33">
        <v>400705</v>
      </c>
      <c r="I167" s="90">
        <v>92</v>
      </c>
      <c r="J167" s="90" t="str">
        <f t="shared" si="117"/>
        <v>81-110</v>
      </c>
      <c r="K167" s="91">
        <f t="shared" si="118"/>
        <v>8747.8561594387575</v>
      </c>
      <c r="L167" s="99">
        <v>16</v>
      </c>
      <c r="M167" s="99" t="str">
        <f t="shared" si="119"/>
        <v>0-20</v>
      </c>
      <c r="N167" s="100">
        <f t="shared" si="110"/>
        <v>3844.3574443810608</v>
      </c>
      <c r="O167" s="51">
        <v>51.3</v>
      </c>
      <c r="P167" s="51" t="str">
        <f t="shared" si="99"/>
        <v>51-80</v>
      </c>
      <c r="Q167" s="51">
        <f t="shared" si="95"/>
        <v>6509</v>
      </c>
      <c r="R167" s="49">
        <v>28</v>
      </c>
      <c r="S167" s="49" t="str">
        <f t="shared" si="96"/>
        <v>21-30</v>
      </c>
      <c r="T167" s="49">
        <f t="shared" si="97"/>
        <v>4508.6394748902885</v>
      </c>
      <c r="U167" s="50">
        <v>22</v>
      </c>
      <c r="V167" s="50" t="str">
        <f t="shared" si="100"/>
        <v>21-30</v>
      </c>
      <c r="W167" s="50">
        <f t="shared" si="98"/>
        <v>4508.6394748902885</v>
      </c>
      <c r="X167" s="143">
        <v>35</v>
      </c>
      <c r="Y167" s="143" t="str">
        <f t="shared" si="101"/>
        <v>31-50</v>
      </c>
      <c r="Z167" s="143">
        <f t="shared" si="102"/>
        <v>5073.1976040297868</v>
      </c>
      <c r="AA167" s="116"/>
      <c r="AB167" s="114" t="str">
        <f t="shared" si="103"/>
        <v>0-20</v>
      </c>
      <c r="AC167" s="114">
        <f t="shared" si="104"/>
        <v>3844.3574443810608</v>
      </c>
      <c r="AD167" s="129"/>
      <c r="AE167" s="129" t="str">
        <f t="shared" si="111"/>
        <v>0-20</v>
      </c>
      <c r="AF167" s="129">
        <f t="shared" si="112"/>
        <v>3844.3574443810608</v>
      </c>
      <c r="AG167" s="138">
        <v>104</v>
      </c>
      <c r="AH167" s="138" t="str">
        <f t="shared" si="113"/>
        <v>81-110</v>
      </c>
      <c r="AI167" s="138">
        <f t="shared" si="114"/>
        <v>8747.8561594387575</v>
      </c>
      <c r="AJ167" s="36">
        <v>17</v>
      </c>
      <c r="AK167" s="36" t="str">
        <f>VLOOKUP(AJ167,$AV$3:$AW$9,2,1)</f>
        <v>0-20</v>
      </c>
      <c r="AL167" s="37">
        <f>VLOOKUP(AK167,$AW$3:$AX$9,2,0)</f>
        <v>3844.3574443810608</v>
      </c>
      <c r="AM167" s="37">
        <v>54</v>
      </c>
      <c r="AN167" s="50" t="str">
        <f>VLOOKUP(AM167,$AV$3:$AW$9,2,1)</f>
        <v>51-80</v>
      </c>
      <c r="AO167" s="124">
        <f>VLOOKUP(AN167,$AW$3:$AX$9,2,0)</f>
        <v>6509</v>
      </c>
      <c r="AP167" s="133"/>
      <c r="AQ167" s="133" t="str">
        <f t="shared" si="105"/>
        <v>0-20</v>
      </c>
      <c r="AR167" s="133">
        <f t="shared" si="106"/>
        <v>3844.3574443810608</v>
      </c>
      <c r="AS167" s="131"/>
      <c r="AT167" s="131"/>
      <c r="AU167" s="41"/>
      <c r="AV167" s="41"/>
      <c r="AW167" s="41"/>
    </row>
    <row r="168" spans="1:49" x14ac:dyDescent="0.25">
      <c r="A168" s="32">
        <v>161</v>
      </c>
      <c r="B168" s="13" t="s">
        <v>21</v>
      </c>
      <c r="C168" s="11" t="s">
        <v>438</v>
      </c>
      <c r="D168" s="10" t="s">
        <v>1006</v>
      </c>
      <c r="E168" s="11" t="s">
        <v>439</v>
      </c>
      <c r="F168" s="34" t="s">
        <v>440</v>
      </c>
      <c r="G168" s="6" t="s">
        <v>441</v>
      </c>
      <c r="H168" s="33">
        <v>400708</v>
      </c>
      <c r="I168" s="90">
        <v>100</v>
      </c>
      <c r="J168" s="90" t="str">
        <f t="shared" si="117"/>
        <v>81-110</v>
      </c>
      <c r="K168" s="91">
        <f t="shared" si="118"/>
        <v>8747.8561594387575</v>
      </c>
      <c r="L168" s="35">
        <v>17</v>
      </c>
      <c r="M168" s="35" t="str">
        <f t="shared" si="119"/>
        <v>0-20</v>
      </c>
      <c r="N168" s="36">
        <f t="shared" si="110"/>
        <v>3844.3574443810608</v>
      </c>
      <c r="O168" s="51">
        <v>40.6</v>
      </c>
      <c r="P168" s="51" t="str">
        <f t="shared" si="99"/>
        <v>31-50</v>
      </c>
      <c r="Q168" s="51">
        <f t="shared" si="95"/>
        <v>5073.1976040297868</v>
      </c>
      <c r="R168" s="49">
        <v>23</v>
      </c>
      <c r="S168" s="49" t="str">
        <f t="shared" si="96"/>
        <v>21-30</v>
      </c>
      <c r="T168" s="49">
        <f t="shared" si="97"/>
        <v>4508.6394748902885</v>
      </c>
      <c r="U168" s="50">
        <v>21</v>
      </c>
      <c r="V168" s="50" t="str">
        <f t="shared" si="100"/>
        <v>21-30</v>
      </c>
      <c r="W168" s="50">
        <f t="shared" si="98"/>
        <v>4508.6394748902885</v>
      </c>
      <c r="X168" s="143" t="s">
        <v>1458</v>
      </c>
      <c r="Y168" s="143" t="e">
        <f t="shared" si="101"/>
        <v>#N/A</v>
      </c>
      <c r="Z168" s="143" t="e">
        <f t="shared" si="102"/>
        <v>#N/A</v>
      </c>
      <c r="AA168" s="116"/>
      <c r="AB168" s="114" t="str">
        <f t="shared" si="103"/>
        <v>0-20</v>
      </c>
      <c r="AC168" s="114">
        <f t="shared" si="104"/>
        <v>3844.3574443810608</v>
      </c>
      <c r="AD168" s="129"/>
      <c r="AE168" s="129" t="str">
        <f t="shared" si="111"/>
        <v>0-20</v>
      </c>
      <c r="AF168" s="129">
        <f t="shared" si="112"/>
        <v>3844.3574443810608</v>
      </c>
      <c r="AG168" s="138">
        <v>93</v>
      </c>
      <c r="AH168" s="138" t="str">
        <f t="shared" si="113"/>
        <v>81-110</v>
      </c>
      <c r="AI168" s="138">
        <f t="shared" si="114"/>
        <v>8747.8561594387575</v>
      </c>
      <c r="AJ168" s="36">
        <v>24</v>
      </c>
      <c r="AK168" s="36" t="str">
        <f>VLOOKUP(AJ168,$AV$3:$AW$9,2,1)</f>
        <v>21-30</v>
      </c>
      <c r="AL168" s="37">
        <f>VLOOKUP(AK168,$AW$3:$AX$9,2,0)</f>
        <v>4508.6394748902885</v>
      </c>
      <c r="AM168" s="37"/>
      <c r="AN168" s="37"/>
      <c r="AO168" s="123"/>
      <c r="AP168" s="133"/>
      <c r="AQ168" s="133" t="str">
        <f t="shared" si="105"/>
        <v>0-20</v>
      </c>
      <c r="AR168" s="133">
        <f t="shared" si="106"/>
        <v>3844.3574443810608</v>
      </c>
      <c r="AS168" s="131"/>
      <c r="AT168" s="131"/>
      <c r="AU168" s="41"/>
      <c r="AV168" s="41"/>
      <c r="AW168" s="41"/>
    </row>
    <row r="169" spans="1:49" x14ac:dyDescent="0.25">
      <c r="A169" s="32">
        <v>162</v>
      </c>
      <c r="B169" s="13" t="s">
        <v>21</v>
      </c>
      <c r="C169" s="11" t="s">
        <v>442</v>
      </c>
      <c r="D169" s="10">
        <v>0</v>
      </c>
      <c r="E169" s="11" t="s">
        <v>443</v>
      </c>
      <c r="F169" s="34" t="s">
        <v>444</v>
      </c>
      <c r="G169" s="6" t="s">
        <v>445</v>
      </c>
      <c r="H169" s="33">
        <v>400407</v>
      </c>
      <c r="I169" s="90">
        <v>94</v>
      </c>
      <c r="J169" s="90" t="str">
        <f t="shared" si="117"/>
        <v>81-110</v>
      </c>
      <c r="K169" s="91">
        <f t="shared" si="118"/>
        <v>8747.8561594387575</v>
      </c>
      <c r="L169" s="35">
        <v>22</v>
      </c>
      <c r="M169" s="35" t="str">
        <f t="shared" si="119"/>
        <v>21-30</v>
      </c>
      <c r="N169" s="36">
        <f t="shared" si="110"/>
        <v>4508.6394748902885</v>
      </c>
      <c r="O169" s="51">
        <v>55.8</v>
      </c>
      <c r="P169" s="51" t="str">
        <f t="shared" si="99"/>
        <v>51-80</v>
      </c>
      <c r="Q169" s="51">
        <f t="shared" si="95"/>
        <v>6509</v>
      </c>
      <c r="R169" s="49">
        <v>29</v>
      </c>
      <c r="S169" s="49" t="str">
        <f t="shared" si="96"/>
        <v>21-30</v>
      </c>
      <c r="T169" s="49">
        <f t="shared" si="97"/>
        <v>4508.6394748902885</v>
      </c>
      <c r="U169" s="50">
        <v>36</v>
      </c>
      <c r="V169" s="50" t="str">
        <f t="shared" si="100"/>
        <v>31-50</v>
      </c>
      <c r="W169" s="50">
        <f t="shared" si="98"/>
        <v>5073.1976040297868</v>
      </c>
      <c r="X169" s="143" t="s">
        <v>1458</v>
      </c>
      <c r="Y169" s="143" t="e">
        <f t="shared" si="101"/>
        <v>#N/A</v>
      </c>
      <c r="Z169" s="143" t="e">
        <f t="shared" si="102"/>
        <v>#N/A</v>
      </c>
      <c r="AA169" s="116"/>
      <c r="AB169" s="114" t="str">
        <f t="shared" si="103"/>
        <v>0-20</v>
      </c>
      <c r="AC169" s="114">
        <f t="shared" si="104"/>
        <v>3844.3574443810608</v>
      </c>
      <c r="AD169" s="129"/>
      <c r="AE169" s="129" t="str">
        <f t="shared" si="111"/>
        <v>0-20</v>
      </c>
      <c r="AF169" s="129">
        <f t="shared" si="112"/>
        <v>3844.3574443810608</v>
      </c>
      <c r="AG169" s="138">
        <v>96</v>
      </c>
      <c r="AH169" s="138" t="str">
        <f t="shared" si="113"/>
        <v>81-110</v>
      </c>
      <c r="AI169" s="138">
        <f t="shared" si="114"/>
        <v>8747.8561594387575</v>
      </c>
      <c r="AJ169" s="36">
        <v>38</v>
      </c>
      <c r="AK169" s="36" t="str">
        <f>VLOOKUP(AJ169,$AV$3:$AW$9,2,1)</f>
        <v>31-50</v>
      </c>
      <c r="AL169" s="37">
        <f>VLOOKUP(AK169,$AW$3:$AX$9,2,0)</f>
        <v>5073.1976040297868</v>
      </c>
      <c r="AM169" s="37"/>
      <c r="AN169" s="37"/>
      <c r="AO169" s="123"/>
      <c r="AP169" s="133"/>
      <c r="AQ169" s="133" t="str">
        <f t="shared" si="105"/>
        <v>0-20</v>
      </c>
      <c r="AR169" s="133">
        <f t="shared" si="106"/>
        <v>3844.3574443810608</v>
      </c>
      <c r="AS169" s="131"/>
      <c r="AT169" s="131"/>
      <c r="AU169" s="41"/>
      <c r="AV169" s="41"/>
      <c r="AW169" s="41"/>
    </row>
    <row r="170" spans="1:49" s="14" customFormat="1" x14ac:dyDescent="0.25">
      <c r="A170" s="32">
        <v>163</v>
      </c>
      <c r="B170" s="13" t="s">
        <v>21</v>
      </c>
      <c r="C170" s="11" t="s">
        <v>463</v>
      </c>
      <c r="D170" s="10" t="s">
        <v>1007</v>
      </c>
      <c r="E170" s="11" t="s">
        <v>464</v>
      </c>
      <c r="F170" s="34" t="s">
        <v>465</v>
      </c>
      <c r="G170" s="6" t="s">
        <v>171</v>
      </c>
      <c r="H170" s="33">
        <v>421301</v>
      </c>
      <c r="I170" s="90">
        <v>113</v>
      </c>
      <c r="J170" s="90" t="str">
        <f t="shared" si="117"/>
        <v>110-130</v>
      </c>
      <c r="K170" s="91">
        <f t="shared" si="118"/>
        <v>10159.810450732197</v>
      </c>
      <c r="L170" s="99">
        <v>24</v>
      </c>
      <c r="M170" s="99" t="str">
        <f t="shared" si="119"/>
        <v>21-30</v>
      </c>
      <c r="N170" s="100">
        <f t="shared" si="110"/>
        <v>4508.6394748902885</v>
      </c>
      <c r="O170" s="51">
        <v>44.9</v>
      </c>
      <c r="P170" s="51" t="str">
        <f t="shared" si="99"/>
        <v>31-50</v>
      </c>
      <c r="Q170" s="51">
        <f t="shared" si="95"/>
        <v>5073.1976040297868</v>
      </c>
      <c r="R170" s="49">
        <v>42</v>
      </c>
      <c r="S170" s="49" t="str">
        <f t="shared" si="96"/>
        <v>31-50</v>
      </c>
      <c r="T170" s="49">
        <f t="shared" si="97"/>
        <v>5073.1976040297868</v>
      </c>
      <c r="U170" s="50">
        <v>39</v>
      </c>
      <c r="V170" s="50" t="str">
        <f t="shared" si="100"/>
        <v>31-50</v>
      </c>
      <c r="W170" s="50">
        <f t="shared" si="98"/>
        <v>5073.1976040297868</v>
      </c>
      <c r="X170" s="143">
        <v>18</v>
      </c>
      <c r="Y170" s="143" t="str">
        <f t="shared" si="101"/>
        <v>0-20</v>
      </c>
      <c r="Z170" s="143">
        <f t="shared" si="102"/>
        <v>3844.3574443810608</v>
      </c>
      <c r="AA170" s="116"/>
      <c r="AB170" s="114" t="str">
        <f t="shared" si="103"/>
        <v>0-20</v>
      </c>
      <c r="AC170" s="114">
        <f t="shared" si="104"/>
        <v>3844.3574443810608</v>
      </c>
      <c r="AD170" s="129"/>
      <c r="AE170" s="129" t="str">
        <f t="shared" si="111"/>
        <v>0-20</v>
      </c>
      <c r="AF170" s="129">
        <f t="shared" si="112"/>
        <v>3844.3574443810608</v>
      </c>
      <c r="AG170" s="138">
        <v>80</v>
      </c>
      <c r="AH170" s="138" t="str">
        <f t="shared" si="113"/>
        <v>51-80</v>
      </c>
      <c r="AI170" s="138">
        <f t="shared" si="114"/>
        <v>6509</v>
      </c>
      <c r="AJ170" s="62">
        <v>47</v>
      </c>
      <c r="AK170" s="63" t="str">
        <f>VLOOKUP(AJ170,$AV$3:$AW$9,2,1)</f>
        <v>31-50</v>
      </c>
      <c r="AL170" s="64">
        <f>VLOOKUP(AK170,$AW$3:$AX$9,2,0)</f>
        <v>5073.1976040297868</v>
      </c>
      <c r="AM170" s="64"/>
      <c r="AN170" s="64"/>
      <c r="AO170" s="126"/>
      <c r="AP170" s="133"/>
      <c r="AQ170" s="133" t="str">
        <f t="shared" si="105"/>
        <v>0-20</v>
      </c>
      <c r="AR170" s="133">
        <f t="shared" si="106"/>
        <v>3844.3574443810608</v>
      </c>
      <c r="AS170" s="131"/>
      <c r="AT170" s="131"/>
      <c r="AU170" s="4"/>
    </row>
    <row r="171" spans="1:49" s="14" customFormat="1" x14ac:dyDescent="0.25">
      <c r="A171" s="32">
        <v>164</v>
      </c>
      <c r="B171" s="13" t="s">
        <v>21</v>
      </c>
      <c r="C171" s="11" t="s">
        <v>731</v>
      </c>
      <c r="D171" s="10" t="s">
        <v>1008</v>
      </c>
      <c r="E171" s="11" t="s">
        <v>732</v>
      </c>
      <c r="F171" s="34" t="s">
        <v>797</v>
      </c>
      <c r="G171" s="6" t="s">
        <v>733</v>
      </c>
      <c r="H171" s="33">
        <v>401303</v>
      </c>
      <c r="I171" s="90">
        <v>151</v>
      </c>
      <c r="J171" s="90" t="str">
        <f t="shared" si="117"/>
        <v>110-130</v>
      </c>
      <c r="K171" s="91">
        <f t="shared" si="118"/>
        <v>10159.810450732197</v>
      </c>
      <c r="L171" s="99">
        <v>54</v>
      </c>
      <c r="M171" s="99" t="str">
        <f t="shared" si="119"/>
        <v>51-80</v>
      </c>
      <c r="N171" s="100">
        <f t="shared" si="110"/>
        <v>6509</v>
      </c>
      <c r="O171" s="51">
        <v>15</v>
      </c>
      <c r="P171" s="51" t="str">
        <f t="shared" si="99"/>
        <v>0-20</v>
      </c>
      <c r="Q171" s="51">
        <f t="shared" si="95"/>
        <v>3844.3574443810608</v>
      </c>
      <c r="R171" s="49">
        <v>55</v>
      </c>
      <c r="S171" s="49" t="str">
        <f t="shared" si="96"/>
        <v>51-80</v>
      </c>
      <c r="T171" s="49">
        <f t="shared" si="97"/>
        <v>6509</v>
      </c>
      <c r="U171" s="50">
        <v>68</v>
      </c>
      <c r="V171" s="50" t="str">
        <f t="shared" si="100"/>
        <v>51-80</v>
      </c>
      <c r="W171" s="50">
        <f t="shared" si="98"/>
        <v>6509</v>
      </c>
      <c r="X171" s="143" t="s">
        <v>1458</v>
      </c>
      <c r="Y171" s="143" t="e">
        <f t="shared" si="101"/>
        <v>#N/A</v>
      </c>
      <c r="Z171" s="143" t="e">
        <f t="shared" si="102"/>
        <v>#N/A</v>
      </c>
      <c r="AA171" s="116"/>
      <c r="AB171" s="114" t="str">
        <f t="shared" si="103"/>
        <v>0-20</v>
      </c>
      <c r="AC171" s="114">
        <f t="shared" si="104"/>
        <v>3844.3574443810608</v>
      </c>
      <c r="AD171" s="129"/>
      <c r="AE171" s="129" t="str">
        <f t="shared" si="111"/>
        <v>0-20</v>
      </c>
      <c r="AF171" s="129">
        <f t="shared" si="112"/>
        <v>3844.3574443810608</v>
      </c>
      <c r="AG171" s="138">
        <v>57</v>
      </c>
      <c r="AH171" s="138" t="str">
        <f t="shared" si="113"/>
        <v>51-80</v>
      </c>
      <c r="AI171" s="138">
        <f t="shared" si="114"/>
        <v>6509</v>
      </c>
      <c r="AJ171" s="62"/>
      <c r="AK171" s="63"/>
      <c r="AL171" s="64"/>
      <c r="AM171" s="78"/>
      <c r="AN171" s="78"/>
      <c r="AO171" s="127"/>
      <c r="AP171" s="133"/>
      <c r="AQ171" s="133" t="str">
        <f t="shared" si="105"/>
        <v>0-20</v>
      </c>
      <c r="AR171" s="133">
        <f t="shared" si="106"/>
        <v>3844.3574443810608</v>
      </c>
      <c r="AS171" s="131"/>
      <c r="AT171" s="131"/>
      <c r="AU171" s="4"/>
    </row>
    <row r="172" spans="1:49" s="14" customFormat="1" x14ac:dyDescent="0.25">
      <c r="A172" s="32">
        <v>165</v>
      </c>
      <c r="B172" s="13" t="s">
        <v>21</v>
      </c>
      <c r="C172" s="11" t="s">
        <v>446</v>
      </c>
      <c r="D172" s="10" t="s">
        <v>1009</v>
      </c>
      <c r="E172" s="11" t="s">
        <v>447</v>
      </c>
      <c r="F172" s="34" t="s">
        <v>448</v>
      </c>
      <c r="G172" s="6" t="s">
        <v>449</v>
      </c>
      <c r="H172" s="33">
        <v>401107</v>
      </c>
      <c r="I172" s="90">
        <v>127</v>
      </c>
      <c r="J172" s="90" t="str">
        <f t="shared" si="117"/>
        <v>110-130</v>
      </c>
      <c r="K172" s="91">
        <f t="shared" si="118"/>
        <v>10159.810450732197</v>
      </c>
      <c r="L172" s="35">
        <v>23</v>
      </c>
      <c r="M172" s="35" t="str">
        <f t="shared" si="119"/>
        <v>21-30</v>
      </c>
      <c r="N172" s="36">
        <f t="shared" si="110"/>
        <v>4508.6394748902885</v>
      </c>
      <c r="O172" s="51">
        <v>26</v>
      </c>
      <c r="P172" s="51" t="str">
        <f t="shared" si="99"/>
        <v>21-30</v>
      </c>
      <c r="Q172" s="51">
        <f t="shared" si="95"/>
        <v>4508.6394748902885</v>
      </c>
      <c r="R172" s="49">
        <v>23</v>
      </c>
      <c r="S172" s="49" t="str">
        <f t="shared" si="96"/>
        <v>21-30</v>
      </c>
      <c r="T172" s="49">
        <f t="shared" si="97"/>
        <v>4508.6394748902885</v>
      </c>
      <c r="U172" s="50">
        <v>32</v>
      </c>
      <c r="V172" s="50" t="str">
        <f t="shared" si="100"/>
        <v>31-50</v>
      </c>
      <c r="W172" s="50">
        <f t="shared" si="98"/>
        <v>5073.1976040297868</v>
      </c>
      <c r="X172" s="143" t="s">
        <v>1458</v>
      </c>
      <c r="Y172" s="143" t="e">
        <f t="shared" si="101"/>
        <v>#N/A</v>
      </c>
      <c r="Z172" s="143" t="e">
        <f t="shared" si="102"/>
        <v>#N/A</v>
      </c>
      <c r="AA172" s="116"/>
      <c r="AB172" s="114" t="str">
        <f t="shared" si="103"/>
        <v>0-20</v>
      </c>
      <c r="AC172" s="114">
        <f t="shared" si="104"/>
        <v>3844.3574443810608</v>
      </c>
      <c r="AD172" s="129"/>
      <c r="AE172" s="129" t="str">
        <f t="shared" si="111"/>
        <v>0-20</v>
      </c>
      <c r="AF172" s="129">
        <f t="shared" si="112"/>
        <v>3844.3574443810608</v>
      </c>
      <c r="AG172" s="138">
        <v>72</v>
      </c>
      <c r="AH172" s="138" t="str">
        <f t="shared" si="113"/>
        <v>51-80</v>
      </c>
      <c r="AI172" s="138">
        <f t="shared" si="114"/>
        <v>6509</v>
      </c>
      <c r="AJ172" s="36">
        <v>40</v>
      </c>
      <c r="AK172" s="36" t="str">
        <f>VLOOKUP(AJ172,$AV$3:$AW$9,2,1)</f>
        <v>31-50</v>
      </c>
      <c r="AL172" s="37">
        <f>VLOOKUP(AK172,$AW$3:$AX$9,2,0)</f>
        <v>5073.1976040297868</v>
      </c>
      <c r="AM172" s="78"/>
      <c r="AN172" s="78"/>
      <c r="AO172" s="127"/>
      <c r="AP172" s="133"/>
      <c r="AQ172" s="133" t="str">
        <f t="shared" si="105"/>
        <v>0-20</v>
      </c>
      <c r="AR172" s="133">
        <f t="shared" si="106"/>
        <v>3844.3574443810608</v>
      </c>
      <c r="AS172" s="131"/>
      <c r="AT172" s="131"/>
      <c r="AU172" s="4"/>
    </row>
    <row r="173" spans="1:49" s="14" customFormat="1" x14ac:dyDescent="0.25">
      <c r="A173" s="32">
        <v>166</v>
      </c>
      <c r="B173" s="13" t="s">
        <v>21</v>
      </c>
      <c r="C173" s="11" t="s">
        <v>472</v>
      </c>
      <c r="D173" s="10">
        <v>0</v>
      </c>
      <c r="E173" s="11" t="s">
        <v>473</v>
      </c>
      <c r="F173" s="34" t="s">
        <v>474</v>
      </c>
      <c r="G173" s="6" t="s">
        <v>475</v>
      </c>
      <c r="H173" s="33">
        <v>421302</v>
      </c>
      <c r="I173" s="90">
        <v>127</v>
      </c>
      <c r="J173" s="90" t="str">
        <f t="shared" si="117"/>
        <v>110-130</v>
      </c>
      <c r="K173" s="91">
        <f t="shared" si="118"/>
        <v>10159.810450732197</v>
      </c>
      <c r="L173" s="35">
        <v>22</v>
      </c>
      <c r="M173" s="35" t="str">
        <f t="shared" si="119"/>
        <v>21-30</v>
      </c>
      <c r="N173" s="36">
        <f t="shared" si="110"/>
        <v>4508.6394748902885</v>
      </c>
      <c r="O173" s="51">
        <v>33</v>
      </c>
      <c r="P173" s="51" t="str">
        <f t="shared" si="99"/>
        <v>31-50</v>
      </c>
      <c r="Q173" s="51">
        <f t="shared" si="95"/>
        <v>5073.1976040297868</v>
      </c>
      <c r="R173" s="49">
        <v>41</v>
      </c>
      <c r="S173" s="49" t="str">
        <f t="shared" si="96"/>
        <v>31-50</v>
      </c>
      <c r="T173" s="49">
        <f t="shared" si="97"/>
        <v>5073.1976040297868</v>
      </c>
      <c r="U173" s="50">
        <v>39</v>
      </c>
      <c r="V173" s="50" t="str">
        <f t="shared" si="100"/>
        <v>31-50</v>
      </c>
      <c r="W173" s="50">
        <f t="shared" si="98"/>
        <v>5073.1976040297868</v>
      </c>
      <c r="X173" s="143" t="s">
        <v>1458</v>
      </c>
      <c r="Y173" s="143" t="e">
        <f t="shared" si="101"/>
        <v>#N/A</v>
      </c>
      <c r="Z173" s="143" t="e">
        <f t="shared" si="102"/>
        <v>#N/A</v>
      </c>
      <c r="AA173" s="116"/>
      <c r="AB173" s="114" t="str">
        <f t="shared" si="103"/>
        <v>0-20</v>
      </c>
      <c r="AC173" s="114">
        <f t="shared" si="104"/>
        <v>3844.3574443810608</v>
      </c>
      <c r="AD173" s="129"/>
      <c r="AE173" s="129" t="str">
        <f t="shared" si="111"/>
        <v>0-20</v>
      </c>
      <c r="AF173" s="129">
        <f t="shared" si="112"/>
        <v>3844.3574443810608</v>
      </c>
      <c r="AG173" s="138">
        <v>75</v>
      </c>
      <c r="AH173" s="138" t="str">
        <f t="shared" si="113"/>
        <v>51-80</v>
      </c>
      <c r="AI173" s="138">
        <f t="shared" si="114"/>
        <v>6509</v>
      </c>
      <c r="AJ173" s="36">
        <v>45</v>
      </c>
      <c r="AK173" s="36" t="str">
        <f>VLOOKUP(AJ173,$AV$3:$AW$9,2,1)</f>
        <v>31-50</v>
      </c>
      <c r="AL173" s="37">
        <f>VLOOKUP(AK173,$AW$3:$AX$9,2,0)</f>
        <v>5073.1976040297868</v>
      </c>
      <c r="AM173" s="79"/>
      <c r="AN173" s="79"/>
      <c r="AO173" s="79"/>
      <c r="AP173" s="133"/>
      <c r="AQ173" s="133" t="str">
        <f t="shared" si="105"/>
        <v>0-20</v>
      </c>
      <c r="AR173" s="133">
        <f t="shared" si="106"/>
        <v>3844.3574443810608</v>
      </c>
      <c r="AS173" s="131"/>
      <c r="AT173" s="131"/>
      <c r="AU173" s="4"/>
    </row>
    <row r="174" spans="1:49" s="14" customFormat="1" x14ac:dyDescent="0.25">
      <c r="A174" s="32">
        <v>167</v>
      </c>
      <c r="B174" s="13" t="s">
        <v>21</v>
      </c>
      <c r="C174" s="11" t="s">
        <v>581</v>
      </c>
      <c r="D174" s="10" t="s">
        <v>1010</v>
      </c>
      <c r="E174" s="11" t="s">
        <v>582</v>
      </c>
      <c r="F174" s="34" t="s">
        <v>583</v>
      </c>
      <c r="G174" s="6" t="s">
        <v>482</v>
      </c>
      <c r="H174" s="33">
        <v>410206</v>
      </c>
      <c r="I174" s="90">
        <v>78</v>
      </c>
      <c r="J174" s="90" t="str">
        <f t="shared" si="117"/>
        <v>51-80</v>
      </c>
      <c r="K174" s="91">
        <f t="shared" si="118"/>
        <v>6509</v>
      </c>
      <c r="L174" s="35">
        <v>0</v>
      </c>
      <c r="M174" s="35" t="str">
        <f t="shared" si="119"/>
        <v>0-20</v>
      </c>
      <c r="N174" s="36">
        <f t="shared" si="110"/>
        <v>3844.3574443810608</v>
      </c>
      <c r="O174" s="51">
        <v>71</v>
      </c>
      <c r="P174" s="51" t="str">
        <f t="shared" si="99"/>
        <v>51-80</v>
      </c>
      <c r="Q174" s="51">
        <f t="shared" si="95"/>
        <v>6509</v>
      </c>
      <c r="R174" s="49">
        <v>40</v>
      </c>
      <c r="S174" s="49" t="str">
        <f t="shared" si="96"/>
        <v>31-50</v>
      </c>
      <c r="T174" s="49">
        <f t="shared" si="97"/>
        <v>5073.1976040297868</v>
      </c>
      <c r="U174" s="50">
        <v>30</v>
      </c>
      <c r="V174" s="50" t="str">
        <f t="shared" si="100"/>
        <v>21-30</v>
      </c>
      <c r="W174" s="50">
        <f t="shared" si="98"/>
        <v>4508.6394748902885</v>
      </c>
      <c r="X174" s="143" t="s">
        <v>1458</v>
      </c>
      <c r="Y174" s="143" t="e">
        <f t="shared" si="101"/>
        <v>#N/A</v>
      </c>
      <c r="Z174" s="143" t="e">
        <f t="shared" si="102"/>
        <v>#N/A</v>
      </c>
      <c r="AA174" s="116"/>
      <c r="AB174" s="114" t="str">
        <f t="shared" si="103"/>
        <v>0-20</v>
      </c>
      <c r="AC174" s="114">
        <f t="shared" si="104"/>
        <v>3844.3574443810608</v>
      </c>
      <c r="AD174" s="129"/>
      <c r="AE174" s="129" t="str">
        <f t="shared" si="111"/>
        <v>0-20</v>
      </c>
      <c r="AF174" s="129">
        <f t="shared" si="112"/>
        <v>3844.3574443810608</v>
      </c>
      <c r="AG174" s="139">
        <v>106</v>
      </c>
      <c r="AH174" s="138" t="str">
        <f t="shared" si="113"/>
        <v>81-110</v>
      </c>
      <c r="AI174" s="138">
        <f t="shared" si="114"/>
        <v>8747.8561594387575</v>
      </c>
      <c r="AJ174" s="36"/>
      <c r="AK174" s="36"/>
      <c r="AL174" s="37"/>
      <c r="AM174" s="79">
        <v>36</v>
      </c>
      <c r="AN174" s="3" t="str">
        <f>VLOOKUP(AM174,$AV$4:$AW$9,2,1)</f>
        <v>31-50</v>
      </c>
      <c r="AO174" s="119">
        <f>VLOOKUP(AN174,$AW$3:$AX$9,2,0)</f>
        <v>5073.1976040297868</v>
      </c>
      <c r="AP174" s="133"/>
      <c r="AQ174" s="133" t="str">
        <f t="shared" si="105"/>
        <v>0-20</v>
      </c>
      <c r="AR174" s="133">
        <f t="shared" si="106"/>
        <v>3844.3574443810608</v>
      </c>
      <c r="AS174" s="131"/>
      <c r="AT174" s="131"/>
      <c r="AU174" s="4"/>
    </row>
    <row r="175" spans="1:49" s="14" customFormat="1" x14ac:dyDescent="0.25">
      <c r="A175" s="32">
        <v>168</v>
      </c>
      <c r="B175" s="13" t="s">
        <v>21</v>
      </c>
      <c r="C175" s="9" t="s">
        <v>584</v>
      </c>
      <c r="D175" s="10" t="s">
        <v>1011</v>
      </c>
      <c r="E175" s="9" t="s">
        <v>585</v>
      </c>
      <c r="F175" s="34" t="s">
        <v>586</v>
      </c>
      <c r="G175" s="6" t="s">
        <v>587</v>
      </c>
      <c r="H175" s="33">
        <v>401101</v>
      </c>
      <c r="I175" s="90">
        <v>126</v>
      </c>
      <c r="J175" s="90" t="str">
        <f t="shared" si="117"/>
        <v>110-130</v>
      </c>
      <c r="K175" s="91">
        <f t="shared" si="118"/>
        <v>10159.810450732197</v>
      </c>
      <c r="L175" s="35">
        <v>22</v>
      </c>
      <c r="M175" s="35" t="str">
        <f t="shared" si="119"/>
        <v>21-30</v>
      </c>
      <c r="N175" s="36">
        <f t="shared" si="110"/>
        <v>4508.6394748902885</v>
      </c>
      <c r="O175" s="51">
        <v>34</v>
      </c>
      <c r="P175" s="51" t="str">
        <f t="shared" si="99"/>
        <v>31-50</v>
      </c>
      <c r="Q175" s="51">
        <f t="shared" si="95"/>
        <v>5073.1976040297868</v>
      </c>
      <c r="R175" s="49">
        <v>25</v>
      </c>
      <c r="S175" s="49" t="str">
        <f t="shared" si="96"/>
        <v>21-30</v>
      </c>
      <c r="T175" s="49">
        <f t="shared" si="97"/>
        <v>4508.6394748902885</v>
      </c>
      <c r="U175" s="50">
        <v>35</v>
      </c>
      <c r="V175" s="50" t="str">
        <f t="shared" si="100"/>
        <v>31-50</v>
      </c>
      <c r="W175" s="50">
        <f t="shared" si="98"/>
        <v>5073.1976040297868</v>
      </c>
      <c r="X175" s="143" t="s">
        <v>1458</v>
      </c>
      <c r="Y175" s="143" t="e">
        <f t="shared" si="101"/>
        <v>#N/A</v>
      </c>
      <c r="Z175" s="143" t="e">
        <f t="shared" si="102"/>
        <v>#N/A</v>
      </c>
      <c r="AA175" s="116"/>
      <c r="AB175" s="114" t="str">
        <f t="shared" si="103"/>
        <v>0-20</v>
      </c>
      <c r="AC175" s="114">
        <f t="shared" si="104"/>
        <v>3844.3574443810608</v>
      </c>
      <c r="AD175" s="129"/>
      <c r="AE175" s="129" t="str">
        <f t="shared" si="111"/>
        <v>0-20</v>
      </c>
      <c r="AF175" s="129">
        <f t="shared" si="112"/>
        <v>3844.3574443810608</v>
      </c>
      <c r="AG175" s="138">
        <v>78</v>
      </c>
      <c r="AH175" s="138" t="str">
        <f t="shared" si="113"/>
        <v>51-80</v>
      </c>
      <c r="AI175" s="138">
        <f t="shared" si="114"/>
        <v>6509</v>
      </c>
      <c r="AJ175" s="36"/>
      <c r="AK175" s="36"/>
      <c r="AL175" s="37"/>
      <c r="AM175" s="79"/>
      <c r="AN175" s="79"/>
      <c r="AO175" s="79"/>
      <c r="AP175" s="133"/>
      <c r="AQ175" s="133" t="str">
        <f t="shared" si="105"/>
        <v>0-20</v>
      </c>
      <c r="AR175" s="133">
        <f t="shared" si="106"/>
        <v>3844.3574443810608</v>
      </c>
      <c r="AS175" s="131"/>
      <c r="AT175" s="131"/>
      <c r="AU175" s="4"/>
    </row>
    <row r="176" spans="1:49" s="14" customFormat="1" x14ac:dyDescent="0.25">
      <c r="A176" s="32">
        <v>169</v>
      </c>
      <c r="B176" s="13" t="s">
        <v>21</v>
      </c>
      <c r="C176" s="9" t="s">
        <v>588</v>
      </c>
      <c r="D176" s="10" t="s">
        <v>1012</v>
      </c>
      <c r="E176" s="9" t="s">
        <v>589</v>
      </c>
      <c r="F176" s="34" t="s">
        <v>590</v>
      </c>
      <c r="G176" s="6" t="s">
        <v>558</v>
      </c>
      <c r="H176" s="33">
        <v>421302</v>
      </c>
      <c r="I176" s="90">
        <v>108</v>
      </c>
      <c r="J176" s="90" t="str">
        <f t="shared" si="117"/>
        <v>81-110</v>
      </c>
      <c r="K176" s="91">
        <f t="shared" si="118"/>
        <v>8747.8561594387575</v>
      </c>
      <c r="L176" s="35">
        <v>20</v>
      </c>
      <c r="M176" s="35" t="str">
        <f t="shared" si="119"/>
        <v>0-20</v>
      </c>
      <c r="N176" s="36">
        <f t="shared" ref="N176:N207" si="120">VLOOKUP(M176,$AW$3:$AX$9,2,0)</f>
        <v>3844.3574443810608</v>
      </c>
      <c r="O176" s="51">
        <v>44</v>
      </c>
      <c r="P176" s="51" t="str">
        <f t="shared" si="99"/>
        <v>31-50</v>
      </c>
      <c r="Q176" s="51">
        <f t="shared" si="95"/>
        <v>5073.1976040297868</v>
      </c>
      <c r="R176" s="49">
        <v>39</v>
      </c>
      <c r="S176" s="49" t="str">
        <f t="shared" si="96"/>
        <v>31-50</v>
      </c>
      <c r="T176" s="49">
        <f t="shared" si="97"/>
        <v>5073.1976040297868</v>
      </c>
      <c r="U176" s="50">
        <v>36</v>
      </c>
      <c r="V176" s="50" t="str">
        <f t="shared" si="100"/>
        <v>31-50</v>
      </c>
      <c r="W176" s="50">
        <f t="shared" si="98"/>
        <v>5073.1976040297868</v>
      </c>
      <c r="X176" s="143" t="s">
        <v>1458</v>
      </c>
      <c r="Y176" s="143" t="e">
        <f t="shared" si="101"/>
        <v>#N/A</v>
      </c>
      <c r="Z176" s="143" t="e">
        <f t="shared" si="102"/>
        <v>#N/A</v>
      </c>
      <c r="AA176" s="116"/>
      <c r="AB176" s="114" t="str">
        <f t="shared" si="103"/>
        <v>0-20</v>
      </c>
      <c r="AC176" s="114">
        <f t="shared" si="104"/>
        <v>3844.3574443810608</v>
      </c>
      <c r="AD176" s="129"/>
      <c r="AE176" s="129" t="str">
        <f t="shared" si="111"/>
        <v>0-20</v>
      </c>
      <c r="AF176" s="129">
        <f t="shared" si="112"/>
        <v>3844.3574443810608</v>
      </c>
      <c r="AG176" s="138">
        <v>75</v>
      </c>
      <c r="AH176" s="138" t="str">
        <f t="shared" si="113"/>
        <v>51-80</v>
      </c>
      <c r="AI176" s="138">
        <f t="shared" si="114"/>
        <v>6509</v>
      </c>
      <c r="AJ176" s="36"/>
      <c r="AK176" s="36"/>
      <c r="AL176" s="37"/>
      <c r="AM176" s="79"/>
      <c r="AN176" s="79"/>
      <c r="AO176" s="79"/>
      <c r="AP176" s="133"/>
      <c r="AQ176" s="133" t="str">
        <f t="shared" si="105"/>
        <v>0-20</v>
      </c>
      <c r="AR176" s="133">
        <f t="shared" si="106"/>
        <v>3844.3574443810608</v>
      </c>
      <c r="AS176" s="131"/>
      <c r="AT176" s="131"/>
      <c r="AU176" s="4"/>
    </row>
    <row r="177" spans="1:47" s="14" customFormat="1" x14ac:dyDescent="0.25">
      <c r="A177" s="32">
        <v>170</v>
      </c>
      <c r="B177" s="13" t="s">
        <v>21</v>
      </c>
      <c r="C177" s="9" t="s">
        <v>688</v>
      </c>
      <c r="D177" s="10" t="s">
        <v>1013</v>
      </c>
      <c r="E177" s="9" t="s">
        <v>689</v>
      </c>
      <c r="F177" s="34" t="s">
        <v>690</v>
      </c>
      <c r="G177" s="5" t="s">
        <v>2</v>
      </c>
      <c r="H177" s="67">
        <v>421302</v>
      </c>
      <c r="I177" s="92">
        <v>116</v>
      </c>
      <c r="J177" s="92" t="str">
        <f t="shared" si="117"/>
        <v>110-130</v>
      </c>
      <c r="K177" s="93">
        <f t="shared" si="118"/>
        <v>10159.810450732197</v>
      </c>
      <c r="L177" s="68">
        <v>30</v>
      </c>
      <c r="M177" s="35" t="str">
        <f t="shared" si="119"/>
        <v>21-30</v>
      </c>
      <c r="N177" s="36">
        <f t="shared" si="120"/>
        <v>4508.6394748902885</v>
      </c>
      <c r="O177" s="69">
        <v>33</v>
      </c>
      <c r="P177" s="51" t="str">
        <f t="shared" si="99"/>
        <v>31-50</v>
      </c>
      <c r="Q177" s="51">
        <f t="shared" si="95"/>
        <v>5073.1976040297868</v>
      </c>
      <c r="R177" s="49">
        <v>46</v>
      </c>
      <c r="S177" s="49" t="str">
        <f t="shared" si="96"/>
        <v>31-50</v>
      </c>
      <c r="T177" s="49">
        <f t="shared" si="97"/>
        <v>5073.1976040297868</v>
      </c>
      <c r="U177" s="50">
        <v>44</v>
      </c>
      <c r="V177" s="50" t="str">
        <f t="shared" si="100"/>
        <v>31-50</v>
      </c>
      <c r="W177" s="50">
        <f t="shared" si="98"/>
        <v>5073.1976040297868</v>
      </c>
      <c r="X177" s="143">
        <v>3</v>
      </c>
      <c r="Y177" s="143" t="str">
        <f t="shared" si="101"/>
        <v>0-20</v>
      </c>
      <c r="Z177" s="143">
        <f t="shared" si="102"/>
        <v>3844.3574443810608</v>
      </c>
      <c r="AA177" s="116"/>
      <c r="AB177" s="114" t="str">
        <f t="shared" si="103"/>
        <v>0-20</v>
      </c>
      <c r="AC177" s="114">
        <f t="shared" si="104"/>
        <v>3844.3574443810608</v>
      </c>
      <c r="AD177" s="129"/>
      <c r="AE177" s="129" t="str">
        <f t="shared" si="111"/>
        <v>0-20</v>
      </c>
      <c r="AF177" s="129">
        <f t="shared" si="112"/>
        <v>3844.3574443810608</v>
      </c>
      <c r="AG177" s="138">
        <v>75</v>
      </c>
      <c r="AH177" s="138" t="str">
        <f t="shared" si="113"/>
        <v>51-80</v>
      </c>
      <c r="AI177" s="138">
        <f t="shared" si="114"/>
        <v>6509</v>
      </c>
      <c r="AJ177" s="36"/>
      <c r="AK177" s="36"/>
      <c r="AL177" s="37"/>
      <c r="AM177" s="79"/>
      <c r="AN177" s="79"/>
      <c r="AO177" s="79"/>
      <c r="AP177" s="133"/>
      <c r="AQ177" s="133" t="str">
        <f t="shared" si="105"/>
        <v>0-20</v>
      </c>
      <c r="AR177" s="133">
        <f t="shared" si="106"/>
        <v>3844.3574443810608</v>
      </c>
      <c r="AS177" s="131"/>
      <c r="AT177" s="131"/>
      <c r="AU177" s="4"/>
    </row>
    <row r="178" spans="1:47" s="14" customFormat="1" x14ac:dyDescent="0.25">
      <c r="A178" s="32">
        <v>171</v>
      </c>
      <c r="B178" s="13" t="s">
        <v>21</v>
      </c>
      <c r="C178" s="9" t="s">
        <v>592</v>
      </c>
      <c r="D178" s="10" t="s">
        <v>1014</v>
      </c>
      <c r="E178" s="9" t="s">
        <v>593</v>
      </c>
      <c r="F178" s="34" t="s">
        <v>849</v>
      </c>
      <c r="G178" s="5" t="s">
        <v>594</v>
      </c>
      <c r="H178" s="33">
        <v>421002</v>
      </c>
      <c r="I178" s="92">
        <v>107</v>
      </c>
      <c r="J178" s="92" t="str">
        <f t="shared" si="117"/>
        <v>81-110</v>
      </c>
      <c r="K178" s="93">
        <f t="shared" si="118"/>
        <v>8747.8561594387575</v>
      </c>
      <c r="L178" s="68">
        <v>29</v>
      </c>
      <c r="M178" s="35" t="str">
        <f t="shared" si="119"/>
        <v>21-30</v>
      </c>
      <c r="N178" s="36">
        <f t="shared" si="120"/>
        <v>4508.6394748902885</v>
      </c>
      <c r="O178" s="69">
        <v>48</v>
      </c>
      <c r="P178" s="51" t="str">
        <f t="shared" si="99"/>
        <v>31-50</v>
      </c>
      <c r="Q178" s="51">
        <f t="shared" si="95"/>
        <v>5073.1976040297868</v>
      </c>
      <c r="R178" s="49">
        <v>48</v>
      </c>
      <c r="S178" s="49" t="str">
        <f t="shared" si="96"/>
        <v>31-50</v>
      </c>
      <c r="T178" s="49">
        <f t="shared" si="97"/>
        <v>5073.1976040297868</v>
      </c>
      <c r="U178" s="50">
        <v>45</v>
      </c>
      <c r="V178" s="50" t="str">
        <f t="shared" si="100"/>
        <v>31-50</v>
      </c>
      <c r="W178" s="50">
        <f t="shared" si="98"/>
        <v>5073.1976040297868</v>
      </c>
      <c r="X178" s="143" t="s">
        <v>1458</v>
      </c>
      <c r="Y178" s="143" t="e">
        <f t="shared" si="101"/>
        <v>#N/A</v>
      </c>
      <c r="Z178" s="143" t="e">
        <f t="shared" si="102"/>
        <v>#N/A</v>
      </c>
      <c r="AA178" s="116"/>
      <c r="AB178" s="114" t="str">
        <f t="shared" si="103"/>
        <v>0-20</v>
      </c>
      <c r="AC178" s="114">
        <f t="shared" si="104"/>
        <v>3844.3574443810608</v>
      </c>
      <c r="AD178" s="129"/>
      <c r="AE178" s="129" t="str">
        <f t="shared" si="111"/>
        <v>0-20</v>
      </c>
      <c r="AF178" s="129">
        <f t="shared" si="112"/>
        <v>3844.3574443810608</v>
      </c>
      <c r="AG178" s="138">
        <v>79</v>
      </c>
      <c r="AH178" s="138" t="str">
        <f t="shared" si="113"/>
        <v>51-80</v>
      </c>
      <c r="AI178" s="138">
        <f t="shared" si="114"/>
        <v>6509</v>
      </c>
      <c r="AJ178" s="36"/>
      <c r="AK178" s="36"/>
      <c r="AL178" s="37"/>
      <c r="AM178" s="79"/>
      <c r="AN178" s="79"/>
      <c r="AO178" s="79"/>
      <c r="AP178" s="133"/>
      <c r="AQ178" s="133" t="str">
        <f t="shared" si="105"/>
        <v>0-20</v>
      </c>
      <c r="AR178" s="133">
        <f t="shared" si="106"/>
        <v>3844.3574443810608</v>
      </c>
      <c r="AS178" s="131"/>
      <c r="AT178" s="131"/>
      <c r="AU178" s="4"/>
    </row>
    <row r="179" spans="1:47" s="14" customFormat="1" x14ac:dyDescent="0.25">
      <c r="A179" s="32">
        <v>172</v>
      </c>
      <c r="B179" s="13" t="s">
        <v>21</v>
      </c>
      <c r="C179" s="9" t="s">
        <v>596</v>
      </c>
      <c r="D179" s="10" t="s">
        <v>1015</v>
      </c>
      <c r="E179" s="9" t="s">
        <v>597</v>
      </c>
      <c r="F179" s="34" t="s">
        <v>598</v>
      </c>
      <c r="G179" s="6" t="s">
        <v>599</v>
      </c>
      <c r="H179" s="33">
        <v>421503</v>
      </c>
      <c r="I179" s="90">
        <v>104</v>
      </c>
      <c r="J179" s="90" t="str">
        <f t="shared" si="117"/>
        <v>81-110</v>
      </c>
      <c r="K179" s="91">
        <f t="shared" si="118"/>
        <v>8747.8561594387575</v>
      </c>
      <c r="L179" s="35">
        <v>40</v>
      </c>
      <c r="M179" s="35" t="str">
        <f t="shared" si="119"/>
        <v>31-50</v>
      </c>
      <c r="N179" s="36">
        <f t="shared" si="120"/>
        <v>5073.1976040297868</v>
      </c>
      <c r="O179" s="51">
        <v>61</v>
      </c>
      <c r="P179" s="51" t="str">
        <f t="shared" si="99"/>
        <v>51-80</v>
      </c>
      <c r="Q179" s="51">
        <f t="shared" si="95"/>
        <v>6509</v>
      </c>
      <c r="R179" s="49">
        <v>57</v>
      </c>
      <c r="S179" s="49" t="str">
        <f t="shared" si="96"/>
        <v>51-80</v>
      </c>
      <c r="T179" s="49">
        <f t="shared" si="97"/>
        <v>6509</v>
      </c>
      <c r="U179" s="50">
        <v>53</v>
      </c>
      <c r="V179" s="50" t="str">
        <f t="shared" si="100"/>
        <v>51-80</v>
      </c>
      <c r="W179" s="50">
        <f t="shared" si="98"/>
        <v>6509</v>
      </c>
      <c r="X179" s="143" t="s">
        <v>1458</v>
      </c>
      <c r="Y179" s="143" t="e">
        <f t="shared" si="101"/>
        <v>#N/A</v>
      </c>
      <c r="Z179" s="143" t="e">
        <f t="shared" si="102"/>
        <v>#N/A</v>
      </c>
      <c r="AA179" s="116"/>
      <c r="AB179" s="114" t="str">
        <f t="shared" si="103"/>
        <v>0-20</v>
      </c>
      <c r="AC179" s="114">
        <f t="shared" si="104"/>
        <v>3844.3574443810608</v>
      </c>
      <c r="AD179" s="129"/>
      <c r="AE179" s="129" t="str">
        <f t="shared" si="111"/>
        <v>0-20</v>
      </c>
      <c r="AF179" s="129">
        <f t="shared" si="112"/>
        <v>3844.3574443810608</v>
      </c>
      <c r="AG179" s="138">
        <v>88</v>
      </c>
      <c r="AH179" s="138" t="str">
        <f t="shared" si="113"/>
        <v>81-110</v>
      </c>
      <c r="AI179" s="138">
        <f t="shared" si="114"/>
        <v>8747.8561594387575</v>
      </c>
      <c r="AJ179" s="36"/>
      <c r="AK179" s="36"/>
      <c r="AL179" s="37"/>
      <c r="AM179" s="79"/>
      <c r="AN179" s="79"/>
      <c r="AO179" s="79"/>
      <c r="AP179" s="133"/>
      <c r="AQ179" s="133" t="str">
        <f t="shared" si="105"/>
        <v>0-20</v>
      </c>
      <c r="AR179" s="133">
        <f t="shared" si="106"/>
        <v>3844.3574443810608</v>
      </c>
      <c r="AS179" s="131"/>
      <c r="AT179" s="131"/>
      <c r="AU179" s="4"/>
    </row>
    <row r="180" spans="1:47" s="14" customFormat="1" x14ac:dyDescent="0.25">
      <c r="A180" s="32">
        <v>173</v>
      </c>
      <c r="B180" s="13" t="s">
        <v>21</v>
      </c>
      <c r="C180" s="9" t="s">
        <v>600</v>
      </c>
      <c r="D180" s="10" t="s">
        <v>1016</v>
      </c>
      <c r="E180" s="9" t="s">
        <v>601</v>
      </c>
      <c r="F180" s="34" t="s">
        <v>799</v>
      </c>
      <c r="G180" s="6" t="s">
        <v>602</v>
      </c>
      <c r="H180" s="33">
        <v>421304</v>
      </c>
      <c r="I180" s="90">
        <v>101</v>
      </c>
      <c r="J180" s="90" t="str">
        <f t="shared" si="117"/>
        <v>81-110</v>
      </c>
      <c r="K180" s="91">
        <f t="shared" si="118"/>
        <v>8747.8561594387575</v>
      </c>
      <c r="L180" s="35">
        <v>37</v>
      </c>
      <c r="M180" s="35" t="str">
        <f t="shared" si="119"/>
        <v>31-50</v>
      </c>
      <c r="N180" s="36">
        <f t="shared" si="120"/>
        <v>5073.1976040297868</v>
      </c>
      <c r="O180" s="51">
        <v>45</v>
      </c>
      <c r="P180" s="51" t="str">
        <f t="shared" si="99"/>
        <v>31-50</v>
      </c>
      <c r="Q180" s="51">
        <f t="shared" si="95"/>
        <v>5073.1976040297868</v>
      </c>
      <c r="R180" s="49">
        <v>43</v>
      </c>
      <c r="S180" s="49" t="str">
        <f t="shared" si="96"/>
        <v>31-50</v>
      </c>
      <c r="T180" s="49">
        <f t="shared" si="97"/>
        <v>5073.1976040297868</v>
      </c>
      <c r="U180" s="50">
        <v>42</v>
      </c>
      <c r="V180" s="50" t="str">
        <f t="shared" si="100"/>
        <v>31-50</v>
      </c>
      <c r="W180" s="50">
        <f t="shared" si="98"/>
        <v>5073.1976040297868</v>
      </c>
      <c r="X180" s="143" t="s">
        <v>1458</v>
      </c>
      <c r="Y180" s="143" t="e">
        <f t="shared" si="101"/>
        <v>#N/A</v>
      </c>
      <c r="Z180" s="143" t="e">
        <f t="shared" si="102"/>
        <v>#N/A</v>
      </c>
      <c r="AA180" s="116"/>
      <c r="AB180" s="114" t="str">
        <f t="shared" si="103"/>
        <v>0-20</v>
      </c>
      <c r="AC180" s="114">
        <f t="shared" si="104"/>
        <v>3844.3574443810608</v>
      </c>
      <c r="AD180" s="129"/>
      <c r="AE180" s="129" t="str">
        <f t="shared" si="111"/>
        <v>0-20</v>
      </c>
      <c r="AF180" s="129">
        <f t="shared" si="112"/>
        <v>3844.3574443810608</v>
      </c>
      <c r="AG180" s="138">
        <v>76</v>
      </c>
      <c r="AH180" s="138" t="str">
        <f t="shared" si="113"/>
        <v>51-80</v>
      </c>
      <c r="AI180" s="138">
        <f t="shared" si="114"/>
        <v>6509</v>
      </c>
      <c r="AJ180" s="36"/>
      <c r="AK180" s="36"/>
      <c r="AL180" s="37"/>
      <c r="AM180" s="79"/>
      <c r="AN180" s="79"/>
      <c r="AO180" s="79"/>
      <c r="AP180" s="133"/>
      <c r="AQ180" s="133" t="str">
        <f t="shared" si="105"/>
        <v>0-20</v>
      </c>
      <c r="AR180" s="133">
        <f t="shared" si="106"/>
        <v>3844.3574443810608</v>
      </c>
      <c r="AS180" s="131"/>
      <c r="AT180" s="131"/>
      <c r="AU180" s="4"/>
    </row>
    <row r="181" spans="1:47" s="14" customFormat="1" x14ac:dyDescent="0.25">
      <c r="A181" s="32">
        <v>174</v>
      </c>
      <c r="B181" s="13" t="s">
        <v>21</v>
      </c>
      <c r="C181" s="9" t="s">
        <v>603</v>
      </c>
      <c r="D181" s="10" t="s">
        <v>1017</v>
      </c>
      <c r="E181" s="9" t="s">
        <v>604</v>
      </c>
      <c r="F181" s="71" t="s">
        <v>798</v>
      </c>
      <c r="G181" s="6" t="s">
        <v>608</v>
      </c>
      <c r="H181" s="33">
        <v>400705</v>
      </c>
      <c r="I181" s="90">
        <v>83</v>
      </c>
      <c r="J181" s="90" t="str">
        <f t="shared" si="117"/>
        <v>81-110</v>
      </c>
      <c r="K181" s="91">
        <f t="shared" si="118"/>
        <v>8747.8561594387575</v>
      </c>
      <c r="L181" s="35">
        <v>22</v>
      </c>
      <c r="M181" s="35" t="str">
        <f t="shared" si="119"/>
        <v>21-30</v>
      </c>
      <c r="N181" s="36">
        <f t="shared" si="120"/>
        <v>4508.6394748902885</v>
      </c>
      <c r="O181" s="51">
        <v>55</v>
      </c>
      <c r="P181" s="51" t="str">
        <f t="shared" si="99"/>
        <v>51-80</v>
      </c>
      <c r="Q181" s="51">
        <f t="shared" si="95"/>
        <v>6509</v>
      </c>
      <c r="R181" s="49">
        <v>26</v>
      </c>
      <c r="S181" s="49" t="str">
        <f t="shared" si="96"/>
        <v>21-30</v>
      </c>
      <c r="T181" s="49">
        <f t="shared" si="97"/>
        <v>4508.6394748902885</v>
      </c>
      <c r="U181" s="50">
        <v>24</v>
      </c>
      <c r="V181" s="50" t="str">
        <f t="shared" si="100"/>
        <v>21-30</v>
      </c>
      <c r="W181" s="50">
        <f t="shared" si="98"/>
        <v>4508.6394748902885</v>
      </c>
      <c r="X181" s="143" t="s">
        <v>1458</v>
      </c>
      <c r="Y181" s="143" t="e">
        <f t="shared" si="101"/>
        <v>#N/A</v>
      </c>
      <c r="Z181" s="143" t="e">
        <f t="shared" si="102"/>
        <v>#N/A</v>
      </c>
      <c r="AA181" s="116"/>
      <c r="AB181" s="114" t="str">
        <f t="shared" si="103"/>
        <v>0-20</v>
      </c>
      <c r="AC181" s="114">
        <f t="shared" si="104"/>
        <v>3844.3574443810608</v>
      </c>
      <c r="AD181" s="129"/>
      <c r="AE181" s="129" t="str">
        <f t="shared" si="111"/>
        <v>0-20</v>
      </c>
      <c r="AF181" s="129">
        <f t="shared" si="112"/>
        <v>3844.3574443810608</v>
      </c>
      <c r="AG181" s="138">
        <v>104</v>
      </c>
      <c r="AH181" s="138" t="str">
        <f t="shared" si="113"/>
        <v>81-110</v>
      </c>
      <c r="AI181" s="138">
        <f t="shared" si="114"/>
        <v>8747.8561594387575</v>
      </c>
      <c r="AJ181" s="36"/>
      <c r="AK181" s="36"/>
      <c r="AL181" s="37"/>
      <c r="AM181" s="79">
        <v>50</v>
      </c>
      <c r="AN181" s="3" t="str">
        <f>VLOOKUP(AM181,$AV$4:$AW$9,2,1)</f>
        <v>31-50</v>
      </c>
      <c r="AO181" s="119">
        <f>VLOOKUP(AN181,$AW$3:$AX$9,2,0)</f>
        <v>5073.1976040297868</v>
      </c>
      <c r="AP181" s="133"/>
      <c r="AQ181" s="133" t="str">
        <f t="shared" si="105"/>
        <v>0-20</v>
      </c>
      <c r="AR181" s="133">
        <f t="shared" si="106"/>
        <v>3844.3574443810608</v>
      </c>
      <c r="AS181" s="131"/>
      <c r="AT181" s="131"/>
      <c r="AU181" s="4"/>
    </row>
    <row r="182" spans="1:47" s="14" customFormat="1" x14ac:dyDescent="0.25">
      <c r="A182" s="32">
        <v>175</v>
      </c>
      <c r="B182" s="13" t="s">
        <v>21</v>
      </c>
      <c r="C182" s="9" t="s">
        <v>605</v>
      </c>
      <c r="D182" s="10" t="s">
        <v>1018</v>
      </c>
      <c r="E182" s="9" t="s">
        <v>606</v>
      </c>
      <c r="F182" s="71" t="s">
        <v>800</v>
      </c>
      <c r="G182" s="6" t="s">
        <v>607</v>
      </c>
      <c r="H182" s="33">
        <v>421202</v>
      </c>
      <c r="I182" s="90">
        <v>97</v>
      </c>
      <c r="J182" s="90" t="str">
        <f t="shared" si="117"/>
        <v>81-110</v>
      </c>
      <c r="K182" s="91">
        <f t="shared" si="118"/>
        <v>8747.8561594387575</v>
      </c>
      <c r="L182" s="35">
        <v>30</v>
      </c>
      <c r="M182" s="35" t="str">
        <f t="shared" si="119"/>
        <v>21-30</v>
      </c>
      <c r="N182" s="36">
        <f t="shared" si="120"/>
        <v>4508.6394748902885</v>
      </c>
      <c r="O182" s="51">
        <v>50</v>
      </c>
      <c r="P182" s="51" t="str">
        <f t="shared" si="99"/>
        <v>31-50</v>
      </c>
      <c r="Q182" s="51">
        <f t="shared" si="95"/>
        <v>5073.1976040297868</v>
      </c>
      <c r="R182" s="49">
        <v>43</v>
      </c>
      <c r="S182" s="49" t="str">
        <f t="shared" si="96"/>
        <v>31-50</v>
      </c>
      <c r="T182" s="49">
        <f t="shared" si="97"/>
        <v>5073.1976040297868</v>
      </c>
      <c r="U182" s="50">
        <v>45</v>
      </c>
      <c r="V182" s="50" t="str">
        <f t="shared" si="100"/>
        <v>31-50</v>
      </c>
      <c r="W182" s="50">
        <f t="shared" si="98"/>
        <v>5073.1976040297868</v>
      </c>
      <c r="X182" s="143">
        <v>23</v>
      </c>
      <c r="Y182" s="143" t="str">
        <f t="shared" si="101"/>
        <v>21-30</v>
      </c>
      <c r="Z182" s="143">
        <f t="shared" si="102"/>
        <v>4508.6394748902885</v>
      </c>
      <c r="AA182" s="116"/>
      <c r="AB182" s="114" t="str">
        <f t="shared" si="103"/>
        <v>0-20</v>
      </c>
      <c r="AC182" s="114">
        <f t="shared" si="104"/>
        <v>3844.3574443810608</v>
      </c>
      <c r="AD182" s="129"/>
      <c r="AE182" s="129" t="str">
        <f t="shared" si="111"/>
        <v>0-20</v>
      </c>
      <c r="AF182" s="129">
        <f t="shared" si="112"/>
        <v>3844.3574443810608</v>
      </c>
      <c r="AG182" s="138">
        <v>80</v>
      </c>
      <c r="AH182" s="138" t="str">
        <f t="shared" si="113"/>
        <v>51-80</v>
      </c>
      <c r="AI182" s="138">
        <f t="shared" si="114"/>
        <v>6509</v>
      </c>
      <c r="AJ182" s="36"/>
      <c r="AK182" s="36"/>
      <c r="AL182" s="37"/>
      <c r="AM182" s="79"/>
      <c r="AN182" s="79"/>
      <c r="AO182" s="79"/>
      <c r="AP182" s="133"/>
      <c r="AQ182" s="133" t="str">
        <f t="shared" si="105"/>
        <v>0-20</v>
      </c>
      <c r="AR182" s="133">
        <f t="shared" si="106"/>
        <v>3844.3574443810608</v>
      </c>
      <c r="AS182" s="131"/>
      <c r="AT182" s="131"/>
      <c r="AU182" s="4"/>
    </row>
    <row r="183" spans="1:47" s="14" customFormat="1" x14ac:dyDescent="0.25">
      <c r="A183" s="32">
        <v>176</v>
      </c>
      <c r="B183" s="13" t="s">
        <v>21</v>
      </c>
      <c r="C183" s="9" t="s">
        <v>609</v>
      </c>
      <c r="D183" s="10">
        <v>0</v>
      </c>
      <c r="E183" s="9" t="s">
        <v>610</v>
      </c>
      <c r="F183" s="71" t="s">
        <v>611</v>
      </c>
      <c r="G183" s="6" t="s">
        <v>558</v>
      </c>
      <c r="H183" s="33">
        <v>421201</v>
      </c>
      <c r="I183" s="90">
        <v>112</v>
      </c>
      <c r="J183" s="90" t="str">
        <f t="shared" si="117"/>
        <v>110-130</v>
      </c>
      <c r="K183" s="91">
        <f t="shared" si="118"/>
        <v>10159.810450732197</v>
      </c>
      <c r="L183" s="35">
        <v>21</v>
      </c>
      <c r="M183" s="35" t="str">
        <f t="shared" si="119"/>
        <v>21-30</v>
      </c>
      <c r="N183" s="36">
        <f t="shared" si="120"/>
        <v>4508.6394748902885</v>
      </c>
      <c r="O183" s="51">
        <v>40</v>
      </c>
      <c r="P183" s="51" t="str">
        <f t="shared" si="99"/>
        <v>31-50</v>
      </c>
      <c r="Q183" s="51">
        <f t="shared" si="95"/>
        <v>5073.1976040297868</v>
      </c>
      <c r="R183" s="49">
        <v>40</v>
      </c>
      <c r="S183" s="49" t="str">
        <f t="shared" si="96"/>
        <v>31-50</v>
      </c>
      <c r="T183" s="49">
        <f t="shared" si="97"/>
        <v>5073.1976040297868</v>
      </c>
      <c r="U183" s="50">
        <v>38</v>
      </c>
      <c r="V183" s="50" t="str">
        <f t="shared" si="100"/>
        <v>31-50</v>
      </c>
      <c r="W183" s="50">
        <f t="shared" si="98"/>
        <v>5073.1976040297868</v>
      </c>
      <c r="X183" s="143" t="s">
        <v>1458</v>
      </c>
      <c r="Y183" s="143" t="e">
        <f t="shared" si="101"/>
        <v>#N/A</v>
      </c>
      <c r="Z183" s="143" t="e">
        <f t="shared" si="102"/>
        <v>#N/A</v>
      </c>
      <c r="AA183" s="116"/>
      <c r="AB183" s="114" t="str">
        <f t="shared" si="103"/>
        <v>0-20</v>
      </c>
      <c r="AC183" s="114">
        <f t="shared" si="104"/>
        <v>3844.3574443810608</v>
      </c>
      <c r="AD183" s="129"/>
      <c r="AE183" s="129" t="str">
        <f t="shared" si="111"/>
        <v>0-20</v>
      </c>
      <c r="AF183" s="129">
        <f t="shared" si="112"/>
        <v>3844.3574443810608</v>
      </c>
      <c r="AG183" s="138">
        <v>85</v>
      </c>
      <c r="AH183" s="138" t="str">
        <f t="shared" si="113"/>
        <v>81-110</v>
      </c>
      <c r="AI183" s="138">
        <f t="shared" si="114"/>
        <v>8747.8561594387575</v>
      </c>
      <c r="AJ183" s="36"/>
      <c r="AK183" s="36"/>
      <c r="AL183" s="37"/>
      <c r="AM183" s="79"/>
      <c r="AN183" s="79"/>
      <c r="AO183" s="79"/>
      <c r="AP183" s="133"/>
      <c r="AQ183" s="133" t="str">
        <f t="shared" si="105"/>
        <v>0-20</v>
      </c>
      <c r="AR183" s="133">
        <f t="shared" si="106"/>
        <v>3844.3574443810608</v>
      </c>
      <c r="AS183" s="131"/>
      <c r="AT183" s="131"/>
      <c r="AU183" s="4"/>
    </row>
    <row r="184" spans="1:47" s="14" customFormat="1" x14ac:dyDescent="0.25">
      <c r="A184" s="32">
        <v>177</v>
      </c>
      <c r="B184" s="13" t="s">
        <v>21</v>
      </c>
      <c r="C184" s="76" t="s">
        <v>612</v>
      </c>
      <c r="D184" s="10">
        <v>0</v>
      </c>
      <c r="E184" s="76" t="s">
        <v>613</v>
      </c>
      <c r="F184" s="71" t="s">
        <v>614</v>
      </c>
      <c r="G184" s="6" t="s">
        <v>171</v>
      </c>
      <c r="H184" s="33">
        <v>421302</v>
      </c>
      <c r="I184" s="90">
        <v>103</v>
      </c>
      <c r="J184" s="90" t="str">
        <f t="shared" si="117"/>
        <v>81-110</v>
      </c>
      <c r="K184" s="91">
        <f t="shared" si="118"/>
        <v>8747.8561594387575</v>
      </c>
      <c r="L184" s="35">
        <v>22</v>
      </c>
      <c r="M184" s="35" t="str">
        <f t="shared" si="119"/>
        <v>21-30</v>
      </c>
      <c r="N184" s="36">
        <f t="shared" si="120"/>
        <v>4508.6394748902885</v>
      </c>
      <c r="O184" s="51">
        <v>40</v>
      </c>
      <c r="P184" s="51" t="str">
        <f t="shared" si="99"/>
        <v>31-50</v>
      </c>
      <c r="Q184" s="51">
        <f t="shared" si="95"/>
        <v>5073.1976040297868</v>
      </c>
      <c r="R184" s="49">
        <v>40</v>
      </c>
      <c r="S184" s="49" t="str">
        <f t="shared" si="96"/>
        <v>31-50</v>
      </c>
      <c r="T184" s="49">
        <f t="shared" si="97"/>
        <v>5073.1976040297868</v>
      </c>
      <c r="U184" s="50">
        <v>38</v>
      </c>
      <c r="V184" s="50" t="str">
        <f t="shared" si="100"/>
        <v>31-50</v>
      </c>
      <c r="W184" s="50">
        <f t="shared" si="98"/>
        <v>5073.1976040297868</v>
      </c>
      <c r="X184" s="143" t="s">
        <v>1458</v>
      </c>
      <c r="Y184" s="143" t="e">
        <f t="shared" si="101"/>
        <v>#N/A</v>
      </c>
      <c r="Z184" s="143" t="e">
        <f t="shared" si="102"/>
        <v>#N/A</v>
      </c>
      <c r="AA184" s="116"/>
      <c r="AB184" s="114" t="str">
        <f t="shared" si="103"/>
        <v>0-20</v>
      </c>
      <c r="AC184" s="114">
        <f t="shared" si="104"/>
        <v>3844.3574443810608</v>
      </c>
      <c r="AD184" s="129"/>
      <c r="AE184" s="129" t="str">
        <f t="shared" si="111"/>
        <v>0-20</v>
      </c>
      <c r="AF184" s="129">
        <f t="shared" si="112"/>
        <v>3844.3574443810608</v>
      </c>
      <c r="AG184" s="138">
        <v>75</v>
      </c>
      <c r="AH184" s="138" t="str">
        <f t="shared" si="113"/>
        <v>51-80</v>
      </c>
      <c r="AI184" s="138">
        <f t="shared" si="114"/>
        <v>6509</v>
      </c>
      <c r="AJ184" s="36"/>
      <c r="AK184" s="36"/>
      <c r="AL184" s="37"/>
      <c r="AM184" s="79"/>
      <c r="AN184" s="79"/>
      <c r="AO184" s="79"/>
      <c r="AP184" s="133"/>
      <c r="AQ184" s="133" t="str">
        <f t="shared" si="105"/>
        <v>0-20</v>
      </c>
      <c r="AR184" s="133">
        <f t="shared" si="106"/>
        <v>3844.3574443810608</v>
      </c>
      <c r="AS184" s="131"/>
      <c r="AT184" s="131"/>
      <c r="AU184" s="4"/>
    </row>
    <row r="185" spans="1:47" s="14" customFormat="1" x14ac:dyDescent="0.25">
      <c r="A185" s="32">
        <v>178</v>
      </c>
      <c r="B185" s="13" t="s">
        <v>21</v>
      </c>
      <c r="C185" s="75" t="s">
        <v>615</v>
      </c>
      <c r="D185" s="10">
        <v>0</v>
      </c>
      <c r="E185" s="75" t="s">
        <v>616</v>
      </c>
      <c r="F185" s="71" t="s">
        <v>617</v>
      </c>
      <c r="G185" s="6" t="s">
        <v>171</v>
      </c>
      <c r="H185" s="33">
        <v>421004</v>
      </c>
      <c r="I185" s="90">
        <v>102</v>
      </c>
      <c r="J185" s="90" t="str">
        <f t="shared" si="117"/>
        <v>81-110</v>
      </c>
      <c r="K185" s="91">
        <f t="shared" si="118"/>
        <v>8747.8561594387575</v>
      </c>
      <c r="L185" s="35">
        <v>22</v>
      </c>
      <c r="M185" s="35" t="str">
        <f t="shared" si="119"/>
        <v>21-30</v>
      </c>
      <c r="N185" s="36">
        <f t="shared" si="120"/>
        <v>4508.6394748902885</v>
      </c>
      <c r="O185" s="51">
        <v>40</v>
      </c>
      <c r="P185" s="51" t="str">
        <f t="shared" si="99"/>
        <v>31-50</v>
      </c>
      <c r="Q185" s="51">
        <f t="shared" si="95"/>
        <v>5073.1976040297868</v>
      </c>
      <c r="R185" s="49">
        <v>40</v>
      </c>
      <c r="S185" s="49" t="str">
        <f t="shared" si="96"/>
        <v>31-50</v>
      </c>
      <c r="T185" s="49">
        <f t="shared" si="97"/>
        <v>5073.1976040297868</v>
      </c>
      <c r="U185" s="50">
        <v>38</v>
      </c>
      <c r="V185" s="50" t="str">
        <f t="shared" si="100"/>
        <v>31-50</v>
      </c>
      <c r="W185" s="50">
        <f t="shared" si="98"/>
        <v>5073.1976040297868</v>
      </c>
      <c r="X185" s="143" t="s">
        <v>1458</v>
      </c>
      <c r="Y185" s="143" t="e">
        <f t="shared" si="101"/>
        <v>#N/A</v>
      </c>
      <c r="Z185" s="143" t="e">
        <f t="shared" si="102"/>
        <v>#N/A</v>
      </c>
      <c r="AA185" s="116"/>
      <c r="AB185" s="114" t="str">
        <f t="shared" si="103"/>
        <v>0-20</v>
      </c>
      <c r="AC185" s="114">
        <f t="shared" si="104"/>
        <v>3844.3574443810608</v>
      </c>
      <c r="AD185" s="129"/>
      <c r="AE185" s="129" t="str">
        <f t="shared" si="111"/>
        <v>0-20</v>
      </c>
      <c r="AF185" s="129">
        <f t="shared" si="112"/>
        <v>3844.3574443810608</v>
      </c>
      <c r="AG185" s="138">
        <v>65</v>
      </c>
      <c r="AH185" s="138" t="str">
        <f t="shared" si="113"/>
        <v>51-80</v>
      </c>
      <c r="AI185" s="138">
        <f t="shared" si="114"/>
        <v>6509</v>
      </c>
      <c r="AJ185" s="36"/>
      <c r="AK185" s="36"/>
      <c r="AL185" s="37"/>
      <c r="AM185" s="79"/>
      <c r="AN185" s="79"/>
      <c r="AO185" s="79"/>
      <c r="AP185" s="133"/>
      <c r="AQ185" s="133" t="str">
        <f t="shared" si="105"/>
        <v>0-20</v>
      </c>
      <c r="AR185" s="133">
        <f t="shared" si="106"/>
        <v>3844.3574443810608</v>
      </c>
      <c r="AS185" s="131"/>
      <c r="AT185" s="131"/>
      <c r="AU185" s="4"/>
    </row>
    <row r="186" spans="1:47" s="14" customFormat="1" x14ac:dyDescent="0.25">
      <c r="A186" s="32">
        <v>179</v>
      </c>
      <c r="B186" s="13" t="s">
        <v>21</v>
      </c>
      <c r="C186" s="75" t="s">
        <v>618</v>
      </c>
      <c r="D186" s="10">
        <v>0</v>
      </c>
      <c r="E186" s="75" t="s">
        <v>619</v>
      </c>
      <c r="F186" s="74" t="s">
        <v>620</v>
      </c>
      <c r="G186" s="73" t="s">
        <v>578</v>
      </c>
      <c r="H186" s="33">
        <v>410206</v>
      </c>
      <c r="I186" s="90">
        <v>58</v>
      </c>
      <c r="J186" s="90" t="str">
        <f t="shared" si="117"/>
        <v>51-80</v>
      </c>
      <c r="K186" s="91">
        <f t="shared" si="118"/>
        <v>6509</v>
      </c>
      <c r="L186" s="35">
        <v>48</v>
      </c>
      <c r="M186" s="35" t="str">
        <f t="shared" si="119"/>
        <v>31-50</v>
      </c>
      <c r="N186" s="36">
        <f t="shared" si="120"/>
        <v>5073.1976040297868</v>
      </c>
      <c r="O186" s="51">
        <v>86</v>
      </c>
      <c r="P186" s="51" t="str">
        <f t="shared" si="99"/>
        <v>81-110</v>
      </c>
      <c r="Q186" s="51">
        <f t="shared" si="95"/>
        <v>8747.8561594387575</v>
      </c>
      <c r="R186" s="49">
        <v>54</v>
      </c>
      <c r="S186" s="49" t="str">
        <f t="shared" si="96"/>
        <v>51-80</v>
      </c>
      <c r="T186" s="49">
        <f t="shared" si="97"/>
        <v>6509</v>
      </c>
      <c r="U186" s="50">
        <v>44</v>
      </c>
      <c r="V186" s="50" t="str">
        <f t="shared" si="100"/>
        <v>31-50</v>
      </c>
      <c r="W186" s="50">
        <f t="shared" si="98"/>
        <v>5073.1976040297868</v>
      </c>
      <c r="X186" s="143" t="s">
        <v>1458</v>
      </c>
      <c r="Y186" s="143" t="e">
        <f t="shared" si="101"/>
        <v>#N/A</v>
      </c>
      <c r="Z186" s="143" t="e">
        <f t="shared" si="102"/>
        <v>#N/A</v>
      </c>
      <c r="AA186" s="116"/>
      <c r="AB186" s="114" t="str">
        <f t="shared" si="103"/>
        <v>0-20</v>
      </c>
      <c r="AC186" s="114">
        <f t="shared" si="104"/>
        <v>3844.3574443810608</v>
      </c>
      <c r="AD186" s="129"/>
      <c r="AE186" s="129" t="str">
        <f t="shared" si="111"/>
        <v>0-20</v>
      </c>
      <c r="AF186" s="129">
        <f t="shared" si="112"/>
        <v>3844.3574443810608</v>
      </c>
      <c r="AG186" s="139">
        <v>106</v>
      </c>
      <c r="AH186" s="138" t="str">
        <f t="shared" si="113"/>
        <v>81-110</v>
      </c>
      <c r="AI186" s="138">
        <f t="shared" si="114"/>
        <v>8747.8561594387575</v>
      </c>
      <c r="AJ186" s="36"/>
      <c r="AK186" s="36"/>
      <c r="AL186" s="37"/>
      <c r="AM186" s="79"/>
      <c r="AN186" s="79"/>
      <c r="AO186" s="79"/>
      <c r="AP186" s="133"/>
      <c r="AQ186" s="133" t="str">
        <f t="shared" si="105"/>
        <v>0-20</v>
      </c>
      <c r="AR186" s="133">
        <f t="shared" si="106"/>
        <v>3844.3574443810608</v>
      </c>
      <c r="AS186" s="131"/>
      <c r="AT186" s="131"/>
      <c r="AU186" s="4"/>
    </row>
    <row r="187" spans="1:47" s="14" customFormat="1" x14ac:dyDescent="0.25">
      <c r="A187" s="32">
        <v>180</v>
      </c>
      <c r="B187" s="13" t="s">
        <v>21</v>
      </c>
      <c r="C187" s="75" t="s">
        <v>621</v>
      </c>
      <c r="D187" s="10" t="s">
        <v>1019</v>
      </c>
      <c r="E187" s="75" t="s">
        <v>622</v>
      </c>
      <c r="F187" s="74" t="s">
        <v>623</v>
      </c>
      <c r="G187" s="73" t="s">
        <v>624</v>
      </c>
      <c r="H187" s="33">
        <v>401101</v>
      </c>
      <c r="I187" s="90">
        <v>136</v>
      </c>
      <c r="J187" s="90" t="str">
        <f t="shared" si="117"/>
        <v>110-130</v>
      </c>
      <c r="K187" s="91">
        <f t="shared" si="118"/>
        <v>10159.810450732197</v>
      </c>
      <c r="L187" s="35">
        <v>35</v>
      </c>
      <c r="M187" s="35" t="str">
        <f t="shared" si="119"/>
        <v>31-50</v>
      </c>
      <c r="N187" s="36">
        <f t="shared" si="120"/>
        <v>5073.1976040297868</v>
      </c>
      <c r="O187" s="51">
        <v>34</v>
      </c>
      <c r="P187" s="51" t="str">
        <f t="shared" si="99"/>
        <v>31-50</v>
      </c>
      <c r="Q187" s="51">
        <f t="shared" si="95"/>
        <v>5073.1976040297868</v>
      </c>
      <c r="R187" s="49">
        <v>24</v>
      </c>
      <c r="S187" s="49" t="str">
        <f t="shared" si="96"/>
        <v>21-30</v>
      </c>
      <c r="T187" s="49">
        <f t="shared" si="97"/>
        <v>4508.6394748902885</v>
      </c>
      <c r="U187" s="50">
        <v>39</v>
      </c>
      <c r="V187" s="50" t="str">
        <f t="shared" si="100"/>
        <v>31-50</v>
      </c>
      <c r="W187" s="50">
        <f t="shared" si="98"/>
        <v>5073.1976040297868</v>
      </c>
      <c r="X187" s="143">
        <v>50</v>
      </c>
      <c r="Y187" s="143" t="str">
        <f t="shared" si="101"/>
        <v>31-50</v>
      </c>
      <c r="Z187" s="143">
        <f t="shared" si="102"/>
        <v>5073.1976040297868</v>
      </c>
      <c r="AA187" s="116"/>
      <c r="AB187" s="114" t="str">
        <f t="shared" si="103"/>
        <v>0-20</v>
      </c>
      <c r="AC187" s="114">
        <f t="shared" si="104"/>
        <v>3844.3574443810608</v>
      </c>
      <c r="AD187" s="129"/>
      <c r="AE187" s="129" t="str">
        <f t="shared" si="111"/>
        <v>0-20</v>
      </c>
      <c r="AF187" s="129">
        <f t="shared" si="112"/>
        <v>3844.3574443810608</v>
      </c>
      <c r="AG187" s="138">
        <v>78</v>
      </c>
      <c r="AH187" s="138" t="str">
        <f t="shared" si="113"/>
        <v>51-80</v>
      </c>
      <c r="AI187" s="138">
        <f t="shared" si="114"/>
        <v>6509</v>
      </c>
      <c r="AJ187" s="36"/>
      <c r="AK187" s="36"/>
      <c r="AL187" s="37"/>
      <c r="AM187" s="79"/>
      <c r="AN187" s="79"/>
      <c r="AO187" s="79"/>
      <c r="AP187" s="133"/>
      <c r="AQ187" s="133" t="str">
        <f t="shared" si="105"/>
        <v>0-20</v>
      </c>
      <c r="AR187" s="133">
        <f t="shared" si="106"/>
        <v>3844.3574443810608</v>
      </c>
      <c r="AS187" s="131"/>
      <c r="AT187" s="131"/>
      <c r="AU187" s="4"/>
    </row>
    <row r="188" spans="1:47" s="14" customFormat="1" x14ac:dyDescent="0.25">
      <c r="A188" s="32">
        <v>181</v>
      </c>
      <c r="B188" s="13" t="s">
        <v>21</v>
      </c>
      <c r="C188" s="9" t="s">
        <v>625</v>
      </c>
      <c r="D188" s="10">
        <v>0</v>
      </c>
      <c r="E188" s="9" t="s">
        <v>626</v>
      </c>
      <c r="F188" s="34" t="s">
        <v>627</v>
      </c>
      <c r="G188" s="73" t="s">
        <v>628</v>
      </c>
      <c r="H188" s="33">
        <v>421302</v>
      </c>
      <c r="I188" s="90">
        <v>111</v>
      </c>
      <c r="J188" s="90" t="str">
        <f t="shared" si="117"/>
        <v>110-130</v>
      </c>
      <c r="K188" s="91">
        <f t="shared" si="118"/>
        <v>10159.810450732197</v>
      </c>
      <c r="L188" s="35">
        <v>35</v>
      </c>
      <c r="M188" s="35" t="str">
        <f t="shared" si="119"/>
        <v>31-50</v>
      </c>
      <c r="N188" s="36">
        <f t="shared" si="120"/>
        <v>5073.1976040297868</v>
      </c>
      <c r="O188" s="51">
        <v>47</v>
      </c>
      <c r="P188" s="51" t="str">
        <f t="shared" si="99"/>
        <v>31-50</v>
      </c>
      <c r="Q188" s="51">
        <f t="shared" si="95"/>
        <v>5073.1976040297868</v>
      </c>
      <c r="R188" s="49">
        <v>66</v>
      </c>
      <c r="S188" s="49" t="str">
        <f t="shared" si="96"/>
        <v>51-80</v>
      </c>
      <c r="T188" s="49">
        <f t="shared" si="97"/>
        <v>6509</v>
      </c>
      <c r="U188" s="50">
        <v>51</v>
      </c>
      <c r="V188" s="50" t="str">
        <f t="shared" si="100"/>
        <v>51-80</v>
      </c>
      <c r="W188" s="50">
        <f t="shared" si="98"/>
        <v>6509</v>
      </c>
      <c r="X188" s="143" t="s">
        <v>1458</v>
      </c>
      <c r="Y188" s="143" t="e">
        <f t="shared" si="101"/>
        <v>#N/A</v>
      </c>
      <c r="Z188" s="143" t="e">
        <f t="shared" si="102"/>
        <v>#N/A</v>
      </c>
      <c r="AA188" s="116"/>
      <c r="AB188" s="114" t="str">
        <f t="shared" si="103"/>
        <v>0-20</v>
      </c>
      <c r="AC188" s="114">
        <f t="shared" si="104"/>
        <v>3844.3574443810608</v>
      </c>
      <c r="AD188" s="129"/>
      <c r="AE188" s="129" t="str">
        <f t="shared" si="111"/>
        <v>0-20</v>
      </c>
      <c r="AF188" s="129">
        <f t="shared" si="112"/>
        <v>3844.3574443810608</v>
      </c>
      <c r="AG188" s="138">
        <v>75</v>
      </c>
      <c r="AH188" s="138" t="str">
        <f t="shared" si="113"/>
        <v>51-80</v>
      </c>
      <c r="AI188" s="138">
        <f t="shared" si="114"/>
        <v>6509</v>
      </c>
      <c r="AJ188" s="36"/>
      <c r="AK188" s="36"/>
      <c r="AL188" s="37"/>
      <c r="AM188" s="79"/>
      <c r="AN188" s="79"/>
      <c r="AO188" s="79"/>
      <c r="AP188" s="133"/>
      <c r="AQ188" s="133" t="str">
        <f t="shared" si="105"/>
        <v>0-20</v>
      </c>
      <c r="AR188" s="133">
        <f t="shared" si="106"/>
        <v>3844.3574443810608</v>
      </c>
      <c r="AS188" s="131"/>
      <c r="AT188" s="131"/>
      <c r="AU188" s="4"/>
    </row>
    <row r="189" spans="1:47" s="14" customFormat="1" x14ac:dyDescent="0.25">
      <c r="A189" s="32">
        <v>182</v>
      </c>
      <c r="B189" s="13" t="s">
        <v>21</v>
      </c>
      <c r="C189" s="9" t="s">
        <v>643</v>
      </c>
      <c r="D189" s="10" t="s">
        <v>1020</v>
      </c>
      <c r="E189" s="9" t="s">
        <v>626</v>
      </c>
      <c r="F189" s="34" t="s">
        <v>645</v>
      </c>
      <c r="G189" s="73" t="s">
        <v>644</v>
      </c>
      <c r="H189" s="33">
        <v>410206</v>
      </c>
      <c r="I189" s="90">
        <v>70</v>
      </c>
      <c r="J189" s="90" t="str">
        <f t="shared" si="117"/>
        <v>51-80</v>
      </c>
      <c r="K189" s="91">
        <f t="shared" si="118"/>
        <v>6509</v>
      </c>
      <c r="L189" s="35">
        <v>27</v>
      </c>
      <c r="M189" s="35" t="str">
        <f t="shared" si="119"/>
        <v>21-30</v>
      </c>
      <c r="N189" s="36">
        <f t="shared" si="120"/>
        <v>4508.6394748902885</v>
      </c>
      <c r="O189" s="51">
        <v>66</v>
      </c>
      <c r="P189" s="51" t="str">
        <f t="shared" si="99"/>
        <v>51-80</v>
      </c>
      <c r="Q189" s="51">
        <f t="shared" si="95"/>
        <v>6509</v>
      </c>
      <c r="R189" s="49">
        <v>50</v>
      </c>
      <c r="S189" s="49" t="str">
        <f t="shared" si="96"/>
        <v>31-50</v>
      </c>
      <c r="T189" s="49">
        <f t="shared" si="97"/>
        <v>5073.1976040297868</v>
      </c>
      <c r="U189" s="50">
        <v>37</v>
      </c>
      <c r="V189" s="50" t="str">
        <f t="shared" si="100"/>
        <v>31-50</v>
      </c>
      <c r="W189" s="50">
        <f t="shared" si="98"/>
        <v>5073.1976040297868</v>
      </c>
      <c r="X189" s="143" t="s">
        <v>1458</v>
      </c>
      <c r="Y189" s="143" t="e">
        <f t="shared" si="101"/>
        <v>#N/A</v>
      </c>
      <c r="Z189" s="143" t="e">
        <f t="shared" si="102"/>
        <v>#N/A</v>
      </c>
      <c r="AA189" s="116"/>
      <c r="AB189" s="114" t="str">
        <f t="shared" si="103"/>
        <v>0-20</v>
      </c>
      <c r="AC189" s="114">
        <f t="shared" si="104"/>
        <v>3844.3574443810608</v>
      </c>
      <c r="AD189" s="129"/>
      <c r="AE189" s="129" t="str">
        <f t="shared" si="111"/>
        <v>0-20</v>
      </c>
      <c r="AF189" s="129">
        <f t="shared" si="112"/>
        <v>3844.3574443810608</v>
      </c>
      <c r="AG189" s="139">
        <v>106</v>
      </c>
      <c r="AH189" s="138" t="str">
        <f t="shared" si="113"/>
        <v>81-110</v>
      </c>
      <c r="AI189" s="138">
        <f t="shared" si="114"/>
        <v>8747.8561594387575</v>
      </c>
      <c r="AJ189" s="36"/>
      <c r="AK189" s="36"/>
      <c r="AL189" s="37"/>
      <c r="AM189" s="79">
        <v>48</v>
      </c>
      <c r="AN189" s="50" t="str">
        <f>VLOOKUP(AM189,$AV$3:$AW$9,2,1)</f>
        <v>31-50</v>
      </c>
      <c r="AO189" s="124">
        <f>VLOOKUP(AN189,$AW$3:$AX$9,2,0)</f>
        <v>5073.1976040297868</v>
      </c>
      <c r="AP189" s="133"/>
      <c r="AQ189" s="133" t="str">
        <f t="shared" si="105"/>
        <v>0-20</v>
      </c>
      <c r="AR189" s="133">
        <f t="shared" si="106"/>
        <v>3844.3574443810608</v>
      </c>
      <c r="AS189" s="131"/>
      <c r="AT189" s="131"/>
      <c r="AU189" s="4"/>
    </row>
    <row r="190" spans="1:47" s="14" customFormat="1" x14ac:dyDescent="0.25">
      <c r="A190" s="32"/>
      <c r="B190" s="13"/>
      <c r="C190" s="9"/>
      <c r="D190" s="10" t="s">
        <v>1254</v>
      </c>
      <c r="E190" s="66" t="s">
        <v>1403</v>
      </c>
      <c r="F190" s="72" t="s">
        <v>1255</v>
      </c>
      <c r="G190" s="118" t="s">
        <v>558</v>
      </c>
      <c r="H190" s="33">
        <v>421308</v>
      </c>
      <c r="I190" s="35">
        <v>127</v>
      </c>
      <c r="J190" s="35" t="str">
        <f t="shared" si="117"/>
        <v>110-130</v>
      </c>
      <c r="K190" s="36">
        <f t="shared" si="118"/>
        <v>10159.810450732197</v>
      </c>
      <c r="L190" s="35">
        <v>40</v>
      </c>
      <c r="M190" s="35" t="str">
        <f t="shared" si="119"/>
        <v>31-50</v>
      </c>
      <c r="N190" s="36">
        <f t="shared" si="120"/>
        <v>5073.1976040297868</v>
      </c>
      <c r="O190" s="51">
        <v>51</v>
      </c>
      <c r="P190" s="51" t="str">
        <f t="shared" si="99"/>
        <v>51-80</v>
      </c>
      <c r="Q190" s="51">
        <f t="shared" si="95"/>
        <v>6509</v>
      </c>
      <c r="R190" s="49">
        <v>65</v>
      </c>
      <c r="S190" s="49" t="str">
        <f t="shared" si="96"/>
        <v>51-80</v>
      </c>
      <c r="T190" s="49">
        <f t="shared" si="97"/>
        <v>6509</v>
      </c>
      <c r="U190" s="50">
        <v>58</v>
      </c>
      <c r="V190" s="50" t="str">
        <f t="shared" si="100"/>
        <v>51-80</v>
      </c>
      <c r="W190" s="50">
        <f t="shared" si="98"/>
        <v>6509</v>
      </c>
      <c r="X190" s="143">
        <v>14</v>
      </c>
      <c r="Y190" s="143" t="str">
        <f t="shared" si="101"/>
        <v>0-20</v>
      </c>
      <c r="Z190" s="143">
        <f t="shared" si="102"/>
        <v>3844.3574443810608</v>
      </c>
      <c r="AA190" s="116">
        <v>58</v>
      </c>
      <c r="AB190" s="114" t="str">
        <f t="shared" si="103"/>
        <v>51-80</v>
      </c>
      <c r="AC190" s="114">
        <f t="shared" si="104"/>
        <v>6509</v>
      </c>
      <c r="AD190" s="129"/>
      <c r="AE190" s="129" t="str">
        <f t="shared" si="111"/>
        <v>0-20</v>
      </c>
      <c r="AF190" s="129">
        <f t="shared" si="112"/>
        <v>3844.3574443810608</v>
      </c>
      <c r="AG190" s="138">
        <v>78</v>
      </c>
      <c r="AH190" s="138" t="str">
        <f t="shared" si="113"/>
        <v>51-80</v>
      </c>
      <c r="AI190" s="138">
        <f t="shared" si="114"/>
        <v>6509</v>
      </c>
      <c r="AJ190" s="36"/>
      <c r="AK190" s="36"/>
      <c r="AL190" s="37"/>
      <c r="AM190" s="79"/>
      <c r="AN190" s="50"/>
      <c r="AO190" s="124"/>
      <c r="AP190" s="133"/>
      <c r="AQ190" s="133" t="str">
        <f t="shared" si="105"/>
        <v>0-20</v>
      </c>
      <c r="AR190" s="133">
        <f t="shared" si="106"/>
        <v>3844.3574443810608</v>
      </c>
      <c r="AS190" s="131"/>
      <c r="AT190" s="131"/>
      <c r="AU190" s="4"/>
    </row>
    <row r="191" spans="1:47" s="14" customFormat="1" x14ac:dyDescent="0.25">
      <c r="A191" s="32">
        <v>183</v>
      </c>
      <c r="B191" s="13" t="s">
        <v>21</v>
      </c>
      <c r="C191" s="9" t="s">
        <v>629</v>
      </c>
      <c r="D191" s="10" t="s">
        <v>1021</v>
      </c>
      <c r="E191" s="9" t="s">
        <v>630</v>
      </c>
      <c r="F191" s="34" t="s">
        <v>631</v>
      </c>
      <c r="G191" s="73" t="s">
        <v>632</v>
      </c>
      <c r="H191" s="33">
        <v>400705</v>
      </c>
      <c r="I191" s="90">
        <v>83</v>
      </c>
      <c r="J191" s="90" t="str">
        <f t="shared" si="117"/>
        <v>81-110</v>
      </c>
      <c r="K191" s="91">
        <f t="shared" si="118"/>
        <v>8747.8561594387575</v>
      </c>
      <c r="L191" s="35">
        <v>20</v>
      </c>
      <c r="M191" s="35" t="str">
        <f t="shared" si="119"/>
        <v>0-20</v>
      </c>
      <c r="N191" s="36">
        <f t="shared" si="120"/>
        <v>3844.3574443810608</v>
      </c>
      <c r="O191" s="51">
        <v>171</v>
      </c>
      <c r="P191" s="51" t="str">
        <f t="shared" si="99"/>
        <v>110-130</v>
      </c>
      <c r="Q191" s="51">
        <f t="shared" si="95"/>
        <v>10159.810450732197</v>
      </c>
      <c r="R191" s="49">
        <v>27</v>
      </c>
      <c r="S191" s="49" t="str">
        <f t="shared" si="96"/>
        <v>21-30</v>
      </c>
      <c r="T191" s="49">
        <f t="shared" si="97"/>
        <v>4508.6394748902885</v>
      </c>
      <c r="U191" s="50">
        <v>16</v>
      </c>
      <c r="V191" s="50" t="str">
        <f t="shared" si="100"/>
        <v>0-20</v>
      </c>
      <c r="W191" s="50">
        <f t="shared" si="98"/>
        <v>3844.3574443810608</v>
      </c>
      <c r="X191" s="143" t="s">
        <v>1458</v>
      </c>
      <c r="Y191" s="143" t="e">
        <f t="shared" si="101"/>
        <v>#N/A</v>
      </c>
      <c r="Z191" s="143" t="e">
        <f t="shared" si="102"/>
        <v>#N/A</v>
      </c>
      <c r="AA191" s="116"/>
      <c r="AB191" s="114" t="str">
        <f t="shared" si="103"/>
        <v>0-20</v>
      </c>
      <c r="AC191" s="114">
        <f t="shared" si="104"/>
        <v>3844.3574443810608</v>
      </c>
      <c r="AD191" s="129"/>
      <c r="AE191" s="129" t="str">
        <f t="shared" si="111"/>
        <v>0-20</v>
      </c>
      <c r="AF191" s="129">
        <f t="shared" si="112"/>
        <v>3844.3574443810608</v>
      </c>
      <c r="AG191" s="138">
        <v>104</v>
      </c>
      <c r="AH191" s="138" t="str">
        <f t="shared" si="113"/>
        <v>81-110</v>
      </c>
      <c r="AI191" s="138">
        <f t="shared" si="114"/>
        <v>8747.8561594387575</v>
      </c>
      <c r="AJ191" s="36"/>
      <c r="AK191" s="36"/>
      <c r="AL191" s="37"/>
      <c r="AM191" s="79">
        <v>49</v>
      </c>
      <c r="AN191" s="50" t="str">
        <f>VLOOKUP(AM191,$AV$3:$AW$9,2,1)</f>
        <v>31-50</v>
      </c>
      <c r="AO191" s="124">
        <f>VLOOKUP(AN191,$AW$3:$AX$9,2,0)</f>
        <v>5073.1976040297868</v>
      </c>
      <c r="AP191" s="133"/>
      <c r="AQ191" s="133" t="str">
        <f t="shared" si="105"/>
        <v>0-20</v>
      </c>
      <c r="AR191" s="133">
        <f t="shared" si="106"/>
        <v>3844.3574443810608</v>
      </c>
      <c r="AS191" s="131"/>
      <c r="AT191" s="131"/>
      <c r="AU191" s="4"/>
    </row>
    <row r="192" spans="1:47" s="14" customFormat="1" x14ac:dyDescent="0.25">
      <c r="A192" s="32">
        <v>184</v>
      </c>
      <c r="B192" s="13" t="s">
        <v>21</v>
      </c>
      <c r="C192" s="9" t="s">
        <v>633</v>
      </c>
      <c r="D192" s="10" t="s">
        <v>1022</v>
      </c>
      <c r="E192" s="9" t="s">
        <v>634</v>
      </c>
      <c r="F192" s="34" t="s">
        <v>635</v>
      </c>
      <c r="G192" s="73" t="s">
        <v>636</v>
      </c>
      <c r="H192" s="33">
        <v>421303</v>
      </c>
      <c r="I192" s="90">
        <v>117</v>
      </c>
      <c r="J192" s="91" t="str">
        <f t="shared" ref="J192:J223" si="121">VLOOKUP(I192,$AV$3:$AW$9,2,1)</f>
        <v>110-130</v>
      </c>
      <c r="K192" s="91">
        <f t="shared" si="118"/>
        <v>10159.810450732197</v>
      </c>
      <c r="L192" s="35">
        <v>65</v>
      </c>
      <c r="M192" s="35" t="str">
        <f t="shared" si="119"/>
        <v>51-80</v>
      </c>
      <c r="N192" s="36">
        <f t="shared" si="120"/>
        <v>6509</v>
      </c>
      <c r="O192" s="51">
        <v>49</v>
      </c>
      <c r="P192" s="51" t="str">
        <f t="shared" si="99"/>
        <v>31-50</v>
      </c>
      <c r="Q192" s="51">
        <f t="shared" si="95"/>
        <v>5073.1976040297868</v>
      </c>
      <c r="R192" s="49">
        <v>103</v>
      </c>
      <c r="S192" s="49" t="str">
        <f t="shared" si="96"/>
        <v>81-110</v>
      </c>
      <c r="T192" s="49">
        <f t="shared" si="97"/>
        <v>8747.8561594387575</v>
      </c>
      <c r="U192" s="50">
        <v>109</v>
      </c>
      <c r="V192" s="50" t="str">
        <f t="shared" si="100"/>
        <v>81-110</v>
      </c>
      <c r="W192" s="50">
        <f t="shared" si="98"/>
        <v>8747.8561594387575</v>
      </c>
      <c r="X192" s="143" t="s">
        <v>1458</v>
      </c>
      <c r="Y192" s="143" t="e">
        <f t="shared" si="101"/>
        <v>#N/A</v>
      </c>
      <c r="Z192" s="143" t="e">
        <f t="shared" si="102"/>
        <v>#N/A</v>
      </c>
      <c r="AA192" s="116"/>
      <c r="AB192" s="114" t="str">
        <f t="shared" si="103"/>
        <v>0-20</v>
      </c>
      <c r="AC192" s="114">
        <f t="shared" si="104"/>
        <v>3844.3574443810608</v>
      </c>
      <c r="AD192" s="129"/>
      <c r="AE192" s="129" t="str">
        <f t="shared" si="111"/>
        <v>0-20</v>
      </c>
      <c r="AF192" s="129">
        <f t="shared" si="112"/>
        <v>3844.3574443810608</v>
      </c>
      <c r="AG192" s="138">
        <v>23</v>
      </c>
      <c r="AH192" s="138" t="str">
        <f t="shared" si="113"/>
        <v>21-30</v>
      </c>
      <c r="AI192" s="138">
        <f t="shared" si="114"/>
        <v>4508.6394748902885</v>
      </c>
      <c r="AJ192" s="36"/>
      <c r="AK192" s="36"/>
      <c r="AL192" s="37"/>
      <c r="AM192" s="79">
        <v>81</v>
      </c>
      <c r="AN192" s="50" t="str">
        <f>VLOOKUP(AM192,$AV$3:$AW$9,2,1)</f>
        <v>81-110</v>
      </c>
      <c r="AO192" s="124">
        <f>VLOOKUP(AN192,$AW$3:$AX$9,2,0)</f>
        <v>8747.8561594387575</v>
      </c>
      <c r="AP192" s="133"/>
      <c r="AQ192" s="133" t="str">
        <f t="shared" si="105"/>
        <v>0-20</v>
      </c>
      <c r="AR192" s="133">
        <f t="shared" si="106"/>
        <v>3844.3574443810608</v>
      </c>
      <c r="AS192" s="131"/>
      <c r="AT192" s="131"/>
      <c r="AU192" s="4"/>
    </row>
    <row r="193" spans="1:48" s="14" customFormat="1" x14ac:dyDescent="0.25">
      <c r="A193" s="32">
        <v>185</v>
      </c>
      <c r="B193" s="13" t="s">
        <v>21</v>
      </c>
      <c r="C193" s="9" t="s">
        <v>637</v>
      </c>
      <c r="D193" s="10" t="s">
        <v>1023</v>
      </c>
      <c r="E193" s="9" t="s">
        <v>638</v>
      </c>
      <c r="F193" s="34" t="s">
        <v>639</v>
      </c>
      <c r="G193" s="73" t="s">
        <v>640</v>
      </c>
      <c r="H193" s="33">
        <v>401201</v>
      </c>
      <c r="I193" s="90">
        <v>107</v>
      </c>
      <c r="J193" s="90" t="str">
        <f t="shared" si="121"/>
        <v>81-110</v>
      </c>
      <c r="K193" s="91">
        <f t="shared" si="118"/>
        <v>8747.8561594387575</v>
      </c>
      <c r="L193" s="35">
        <v>42</v>
      </c>
      <c r="M193" s="35" t="str">
        <f t="shared" si="119"/>
        <v>31-50</v>
      </c>
      <c r="N193" s="36">
        <f t="shared" si="120"/>
        <v>5073.1976040297868</v>
      </c>
      <c r="O193" s="51">
        <v>0</v>
      </c>
      <c r="P193" s="51" t="str">
        <f t="shared" si="99"/>
        <v>0-20</v>
      </c>
      <c r="Q193" s="51">
        <f t="shared" si="95"/>
        <v>3844.3574443810608</v>
      </c>
      <c r="R193" s="49">
        <v>45</v>
      </c>
      <c r="S193" s="49" t="str">
        <f t="shared" si="96"/>
        <v>31-50</v>
      </c>
      <c r="T193" s="49">
        <f t="shared" si="97"/>
        <v>5073.1976040297868</v>
      </c>
      <c r="U193" s="50">
        <v>55</v>
      </c>
      <c r="V193" s="50" t="str">
        <f t="shared" si="100"/>
        <v>51-80</v>
      </c>
      <c r="W193" s="50">
        <f t="shared" si="98"/>
        <v>6509</v>
      </c>
      <c r="X193" s="143" t="s">
        <v>1458</v>
      </c>
      <c r="Y193" s="143" t="e">
        <f t="shared" si="101"/>
        <v>#N/A</v>
      </c>
      <c r="Z193" s="143" t="e">
        <f t="shared" si="102"/>
        <v>#N/A</v>
      </c>
      <c r="AA193" s="116"/>
      <c r="AB193" s="114" t="str">
        <f t="shared" si="103"/>
        <v>0-20</v>
      </c>
      <c r="AC193" s="114">
        <f t="shared" si="104"/>
        <v>3844.3574443810608</v>
      </c>
      <c r="AD193" s="129"/>
      <c r="AE193" s="129" t="str">
        <f t="shared" si="111"/>
        <v>0-20</v>
      </c>
      <c r="AF193" s="129">
        <f t="shared" si="112"/>
        <v>3844.3574443810608</v>
      </c>
      <c r="AG193" s="138">
        <v>57</v>
      </c>
      <c r="AH193" s="138" t="str">
        <f t="shared" si="113"/>
        <v>51-80</v>
      </c>
      <c r="AI193" s="138">
        <f t="shared" si="114"/>
        <v>6509</v>
      </c>
      <c r="AJ193" s="36"/>
      <c r="AK193" s="36"/>
      <c r="AL193" s="37"/>
      <c r="AM193" s="79"/>
      <c r="AN193" s="79"/>
      <c r="AO193" s="79"/>
      <c r="AP193" s="133"/>
      <c r="AQ193" s="133" t="str">
        <f t="shared" si="105"/>
        <v>0-20</v>
      </c>
      <c r="AR193" s="133">
        <f t="shared" si="106"/>
        <v>3844.3574443810608</v>
      </c>
      <c r="AS193" s="131"/>
      <c r="AT193" s="131"/>
      <c r="AU193" s="4"/>
    </row>
    <row r="194" spans="1:48" x14ac:dyDescent="0.25">
      <c r="A194" s="32">
        <v>186</v>
      </c>
      <c r="B194" s="13" t="s">
        <v>21</v>
      </c>
      <c r="C194" s="34" t="s">
        <v>541</v>
      </c>
      <c r="D194" s="10" t="s">
        <v>1024</v>
      </c>
      <c r="E194" s="34" t="s">
        <v>542</v>
      </c>
      <c r="F194" s="34" t="s">
        <v>543</v>
      </c>
      <c r="G194" s="34" t="s">
        <v>544</v>
      </c>
      <c r="H194" s="19">
        <v>400709</v>
      </c>
      <c r="I194" s="94">
        <v>86</v>
      </c>
      <c r="J194" s="91" t="str">
        <f t="shared" si="121"/>
        <v>81-110</v>
      </c>
      <c r="K194" s="91">
        <f t="shared" ref="K194:K225" si="122">VLOOKUP(J194,$AW$3:$AX$9,2,0)</f>
        <v>8747.8561594387575</v>
      </c>
      <c r="L194" s="101">
        <v>17</v>
      </c>
      <c r="M194" s="35" t="str">
        <f t="shared" ref="M194:M225" si="123">VLOOKUP(L194,$AV$4:$AW$9,2,1)</f>
        <v>0-20</v>
      </c>
      <c r="N194" s="36">
        <f t="shared" si="120"/>
        <v>3844.3574443810608</v>
      </c>
      <c r="O194" s="46">
        <v>55</v>
      </c>
      <c r="P194" s="51" t="str">
        <f t="shared" si="99"/>
        <v>51-80</v>
      </c>
      <c r="Q194" s="51">
        <f t="shared" si="95"/>
        <v>6509</v>
      </c>
      <c r="R194" s="24">
        <v>25</v>
      </c>
      <c r="S194" s="49" t="str">
        <f t="shared" si="96"/>
        <v>21-30</v>
      </c>
      <c r="T194" s="49">
        <f t="shared" si="97"/>
        <v>4508.6394748902885</v>
      </c>
      <c r="U194" s="47">
        <v>19</v>
      </c>
      <c r="V194" s="50" t="str">
        <f t="shared" si="100"/>
        <v>0-20</v>
      </c>
      <c r="W194" s="50">
        <f t="shared" si="98"/>
        <v>3844.3574443810608</v>
      </c>
      <c r="X194" s="143" t="s">
        <v>1458</v>
      </c>
      <c r="Y194" s="143" t="e">
        <f t="shared" si="101"/>
        <v>#N/A</v>
      </c>
      <c r="Z194" s="143" t="e">
        <f t="shared" si="102"/>
        <v>#N/A</v>
      </c>
      <c r="AA194" s="117">
        <v>37</v>
      </c>
      <c r="AB194" s="114" t="str">
        <f t="shared" si="103"/>
        <v>31-50</v>
      </c>
      <c r="AC194" s="114">
        <f t="shared" si="104"/>
        <v>5073.1976040297868</v>
      </c>
      <c r="AD194" s="129"/>
      <c r="AE194" s="129" t="str">
        <f t="shared" si="111"/>
        <v>0-20</v>
      </c>
      <c r="AF194" s="129">
        <f t="shared" si="112"/>
        <v>3844.3574443810608</v>
      </c>
      <c r="AG194" s="138">
        <v>100</v>
      </c>
      <c r="AH194" s="138" t="str">
        <f t="shared" si="113"/>
        <v>81-110</v>
      </c>
      <c r="AI194" s="138">
        <f t="shared" si="114"/>
        <v>8747.8561594387575</v>
      </c>
      <c r="AJ194" s="48">
        <v>20</v>
      </c>
      <c r="AK194" s="48" t="str">
        <f>VLOOKUP(AJ194,$AV$3:$AW$9,2,1)</f>
        <v>0-20</v>
      </c>
      <c r="AL194" s="48">
        <f>VLOOKUP(AK194,$AW$3:$AX$9,2,0)</f>
        <v>3844.3574443810608</v>
      </c>
      <c r="AM194" s="48">
        <v>53</v>
      </c>
      <c r="AN194" s="50" t="str">
        <f>VLOOKUP(AM194,$AV$3:$AW$9,2,1)</f>
        <v>51-80</v>
      </c>
      <c r="AO194" s="124">
        <f>VLOOKUP(AN194,$AW$3:$AX$9,2,0)</f>
        <v>6509</v>
      </c>
      <c r="AP194" s="133"/>
      <c r="AQ194" s="133" t="str">
        <f t="shared" si="105"/>
        <v>0-20</v>
      </c>
      <c r="AR194" s="133">
        <f t="shared" si="106"/>
        <v>3844.3574443810608</v>
      </c>
      <c r="AS194" s="132"/>
      <c r="AT194" s="132"/>
      <c r="AU194" s="23"/>
      <c r="AV194" s="9"/>
    </row>
    <row r="195" spans="1:48" x14ac:dyDescent="0.25">
      <c r="A195" s="32"/>
      <c r="B195" s="13" t="s">
        <v>21</v>
      </c>
      <c r="C195" s="34"/>
      <c r="D195" t="s">
        <v>1177</v>
      </c>
      <c r="E195" t="s">
        <v>1176</v>
      </c>
      <c r="F195" s="34" t="s">
        <v>1471</v>
      </c>
      <c r="G195" s="110" t="s">
        <v>411</v>
      </c>
      <c r="H195" s="19">
        <v>401209</v>
      </c>
      <c r="I195" s="94">
        <v>121</v>
      </c>
      <c r="J195" s="91" t="str">
        <f t="shared" si="121"/>
        <v>110-130</v>
      </c>
      <c r="K195" s="91">
        <f t="shared" si="122"/>
        <v>10159.810450732197</v>
      </c>
      <c r="L195" s="101">
        <v>24</v>
      </c>
      <c r="M195" s="35" t="str">
        <f t="shared" si="123"/>
        <v>21-30</v>
      </c>
      <c r="N195" s="36">
        <f t="shared" si="120"/>
        <v>4508.6394748902885</v>
      </c>
      <c r="O195" s="46">
        <v>19</v>
      </c>
      <c r="P195" s="51" t="str">
        <f t="shared" si="99"/>
        <v>0-20</v>
      </c>
      <c r="Q195" s="51">
        <f t="shared" ref="Q195:Q258" si="124">VLOOKUP(P195,$AW$3:$AX$9,2,0)</f>
        <v>3844.3574443810608</v>
      </c>
      <c r="R195" s="24">
        <v>26</v>
      </c>
      <c r="S195" s="49" t="str">
        <f t="shared" ref="S195:S258" si="125">VLOOKUP(R195,$AV$3:$AW$9,2,1)</f>
        <v>21-30</v>
      </c>
      <c r="T195" s="49">
        <f t="shared" ref="T195:T258" si="126">VLOOKUP(S195,$AW$3:$AX$9,2,0)</f>
        <v>4508.6394748902885</v>
      </c>
      <c r="U195" s="47">
        <v>39</v>
      </c>
      <c r="V195" s="50" t="str">
        <f t="shared" si="100"/>
        <v>31-50</v>
      </c>
      <c r="W195" s="50">
        <f t="shared" ref="W195" si="127">VLOOKUP(V195,$AW$3:$AX$9,2,0)</f>
        <v>5073.1976040297868</v>
      </c>
      <c r="X195" s="143">
        <v>44</v>
      </c>
      <c r="Y195" s="143" t="str">
        <f t="shared" si="101"/>
        <v>31-50</v>
      </c>
      <c r="Z195" s="143">
        <f t="shared" si="102"/>
        <v>5073.1976040297868</v>
      </c>
      <c r="AA195" s="117"/>
      <c r="AB195" s="114" t="str">
        <f t="shared" si="103"/>
        <v>0-20</v>
      </c>
      <c r="AC195" s="114">
        <f t="shared" si="104"/>
        <v>3844.3574443810608</v>
      </c>
      <c r="AD195" s="129"/>
      <c r="AE195" s="129" t="str">
        <f t="shared" si="111"/>
        <v>0-20</v>
      </c>
      <c r="AF195" s="129">
        <f t="shared" si="112"/>
        <v>3844.3574443810608</v>
      </c>
      <c r="AG195" s="139">
        <v>54</v>
      </c>
      <c r="AH195" s="138" t="str">
        <f t="shared" si="113"/>
        <v>51-80</v>
      </c>
      <c r="AI195" s="138">
        <f t="shared" si="114"/>
        <v>6509</v>
      </c>
      <c r="AJ195" s="48"/>
      <c r="AK195" s="48"/>
      <c r="AL195" s="48"/>
      <c r="AM195" s="111"/>
      <c r="AN195" s="50"/>
      <c r="AO195" s="124"/>
      <c r="AP195" s="133"/>
      <c r="AQ195" s="133" t="str">
        <f t="shared" si="105"/>
        <v>0-20</v>
      </c>
      <c r="AR195" s="133">
        <f t="shared" si="106"/>
        <v>3844.3574443810608</v>
      </c>
      <c r="AS195" s="131"/>
      <c r="AT195" s="131"/>
    </row>
    <row r="196" spans="1:48" s="14" customFormat="1" x14ac:dyDescent="0.25">
      <c r="A196" s="32">
        <v>187</v>
      </c>
      <c r="B196" s="13" t="s">
        <v>21</v>
      </c>
      <c r="C196" s="9" t="s">
        <v>646</v>
      </c>
      <c r="D196" s="10" t="s">
        <v>1025</v>
      </c>
      <c r="E196" s="9" t="s">
        <v>647</v>
      </c>
      <c r="F196" s="34" t="s">
        <v>648</v>
      </c>
      <c r="G196" s="73" t="s">
        <v>649</v>
      </c>
      <c r="H196" s="33">
        <v>402401</v>
      </c>
      <c r="I196" s="90">
        <v>115</v>
      </c>
      <c r="J196" s="91" t="str">
        <f t="shared" si="121"/>
        <v>110-130</v>
      </c>
      <c r="K196" s="91">
        <f t="shared" si="122"/>
        <v>10159.810450732197</v>
      </c>
      <c r="L196" s="35">
        <v>137</v>
      </c>
      <c r="M196" s="35" t="str">
        <f t="shared" si="123"/>
        <v>110-130</v>
      </c>
      <c r="N196" s="36">
        <f t="shared" si="120"/>
        <v>10159.810450732197</v>
      </c>
      <c r="O196" s="51">
        <v>171</v>
      </c>
      <c r="P196" s="51" t="str">
        <f t="shared" ref="P196:P259" si="128">VLOOKUP(O196,$AV$3:$AW$9,2,1)</f>
        <v>110-130</v>
      </c>
      <c r="Q196" s="51">
        <f t="shared" si="124"/>
        <v>10159.810450732197</v>
      </c>
      <c r="R196" s="49">
        <v>144</v>
      </c>
      <c r="S196" s="49" t="str">
        <f t="shared" si="125"/>
        <v>110-130</v>
      </c>
      <c r="T196" s="49">
        <f t="shared" si="126"/>
        <v>10159.810450732197</v>
      </c>
      <c r="U196" s="50">
        <v>133</v>
      </c>
      <c r="V196" s="50" t="str">
        <f t="shared" ref="V196:V259" si="129">VLOOKUP(U196,$AV$3:$AW$9,2,1)</f>
        <v>110-130</v>
      </c>
      <c r="W196" s="50">
        <f t="shared" ref="W196:W258" si="130">VLOOKUP(V196,$AW$3:$AX$9,2,0)</f>
        <v>10159.810450732197</v>
      </c>
      <c r="X196" s="143" t="s">
        <v>1458</v>
      </c>
      <c r="Y196" s="143" t="e">
        <f t="shared" ref="Y196:Y259" si="131">VLOOKUP(X196,$AV$4:$AW$9,2,1)</f>
        <v>#N/A</v>
      </c>
      <c r="Z196" s="143" t="e">
        <f t="shared" ref="Z196:Z259" si="132">VLOOKUP(Y196,$AW$3:$AX$9,2,0)</f>
        <v>#N/A</v>
      </c>
      <c r="AA196" s="116"/>
      <c r="AB196" s="114" t="str">
        <f t="shared" si="103"/>
        <v>0-20</v>
      </c>
      <c r="AC196" s="114">
        <f t="shared" si="104"/>
        <v>3844.3574443810608</v>
      </c>
      <c r="AD196" s="129"/>
      <c r="AE196" s="129" t="str">
        <f t="shared" si="111"/>
        <v>0-20</v>
      </c>
      <c r="AF196" s="129">
        <f t="shared" si="112"/>
        <v>3844.3574443810608</v>
      </c>
      <c r="AG196" s="138">
        <v>230</v>
      </c>
      <c r="AH196" s="138" t="str">
        <f t="shared" si="113"/>
        <v>110-130</v>
      </c>
      <c r="AI196" s="138">
        <f t="shared" si="114"/>
        <v>10159.810450732197</v>
      </c>
      <c r="AJ196" s="36"/>
      <c r="AK196" s="36"/>
      <c r="AL196" s="37"/>
      <c r="AM196" s="79">
        <v>97</v>
      </c>
      <c r="AN196" s="50" t="str">
        <f>VLOOKUP(AM196,$AV$3:$AW$9,2,1)</f>
        <v>81-110</v>
      </c>
      <c r="AO196" s="124">
        <f>VLOOKUP(AN196,$AW$3:$AX$9,2,0)</f>
        <v>8747.8561594387575</v>
      </c>
      <c r="AP196" s="133"/>
      <c r="AQ196" s="133" t="str">
        <f t="shared" si="105"/>
        <v>0-20</v>
      </c>
      <c r="AR196" s="133">
        <f t="shared" si="106"/>
        <v>3844.3574443810608</v>
      </c>
      <c r="AS196" s="131"/>
      <c r="AT196" s="131"/>
      <c r="AU196" s="4"/>
    </row>
    <row r="197" spans="1:48" s="14" customFormat="1" x14ac:dyDescent="0.25">
      <c r="A197" s="32">
        <v>188</v>
      </c>
      <c r="B197" s="13" t="s">
        <v>21</v>
      </c>
      <c r="C197" t="s">
        <v>650</v>
      </c>
      <c r="D197" s="10" t="s">
        <v>1026</v>
      </c>
      <c r="E197" t="s">
        <v>651</v>
      </c>
      <c r="F197" s="34" t="s">
        <v>652</v>
      </c>
      <c r="G197" s="73" t="s">
        <v>653</v>
      </c>
      <c r="H197" s="33">
        <v>400706</v>
      </c>
      <c r="I197" s="90">
        <v>80</v>
      </c>
      <c r="J197" s="90" t="str">
        <f t="shared" si="121"/>
        <v>51-80</v>
      </c>
      <c r="K197" s="91">
        <f t="shared" si="122"/>
        <v>6509</v>
      </c>
      <c r="L197" s="35">
        <v>29</v>
      </c>
      <c r="M197" s="35" t="str">
        <f t="shared" si="123"/>
        <v>21-30</v>
      </c>
      <c r="N197" s="36">
        <f t="shared" si="120"/>
        <v>4508.6394748902885</v>
      </c>
      <c r="O197" s="51">
        <v>67</v>
      </c>
      <c r="P197" s="51" t="str">
        <f t="shared" si="128"/>
        <v>51-80</v>
      </c>
      <c r="Q197" s="51">
        <f t="shared" si="124"/>
        <v>6509</v>
      </c>
      <c r="R197" s="49">
        <v>34</v>
      </c>
      <c r="S197" s="49" t="str">
        <f t="shared" si="125"/>
        <v>31-50</v>
      </c>
      <c r="T197" s="49">
        <f t="shared" si="126"/>
        <v>5073.1976040297868</v>
      </c>
      <c r="U197" s="50">
        <v>22</v>
      </c>
      <c r="V197" s="50" t="str">
        <f t="shared" si="129"/>
        <v>21-30</v>
      </c>
      <c r="W197" s="50">
        <f t="shared" si="130"/>
        <v>4508.6394748902885</v>
      </c>
      <c r="X197" s="143" t="s">
        <v>1458</v>
      </c>
      <c r="Y197" s="143" t="e">
        <f t="shared" si="131"/>
        <v>#N/A</v>
      </c>
      <c r="Z197" s="143" t="e">
        <f t="shared" si="132"/>
        <v>#N/A</v>
      </c>
      <c r="AA197" s="116"/>
      <c r="AB197" s="114" t="str">
        <f t="shared" ref="AB197:AB260" si="133">VLOOKUP(AA197,$AV$4:$AW$9,2,1)</f>
        <v>0-20</v>
      </c>
      <c r="AC197" s="114">
        <f t="shared" ref="AC197:AC260" si="134">VLOOKUP(AB197,$AW$3:$AX$9,2,0)</f>
        <v>3844.3574443810608</v>
      </c>
      <c r="AD197" s="129"/>
      <c r="AE197" s="129" t="str">
        <f t="shared" si="111"/>
        <v>0-20</v>
      </c>
      <c r="AF197" s="129">
        <f t="shared" si="112"/>
        <v>3844.3574443810608</v>
      </c>
      <c r="AG197" s="138">
        <v>108</v>
      </c>
      <c r="AH197" s="138" t="str">
        <f t="shared" si="113"/>
        <v>81-110</v>
      </c>
      <c r="AI197" s="138">
        <f t="shared" si="114"/>
        <v>8747.8561594387575</v>
      </c>
      <c r="AJ197" s="36"/>
      <c r="AK197" s="36"/>
      <c r="AL197" s="37"/>
      <c r="AM197" s="79">
        <v>47</v>
      </c>
      <c r="AN197" s="50" t="str">
        <f>VLOOKUP(AM197,$AV$3:$AW$9,2,1)</f>
        <v>31-50</v>
      </c>
      <c r="AO197" s="124">
        <f>VLOOKUP(AN197,$AW$3:$AX$9,2,0)</f>
        <v>5073.1976040297868</v>
      </c>
      <c r="AP197" s="133"/>
      <c r="AQ197" s="133" t="str">
        <f t="shared" ref="AQ197:AQ260" si="135">VLOOKUP(AP197,$AV$4:$AW$9,2,1)</f>
        <v>0-20</v>
      </c>
      <c r="AR197" s="133">
        <f t="shared" ref="AR197:AR260" si="136">VLOOKUP(AQ197,$AW$3:$AX$9,2,0)</f>
        <v>3844.3574443810608</v>
      </c>
      <c r="AS197" s="131"/>
      <c r="AT197" s="131"/>
      <c r="AU197" s="4"/>
    </row>
    <row r="198" spans="1:48" s="14" customFormat="1" x14ac:dyDescent="0.25">
      <c r="A198" s="32">
        <v>189</v>
      </c>
      <c r="B198" s="13" t="s">
        <v>21</v>
      </c>
      <c r="C198" s="9" t="s">
        <v>654</v>
      </c>
      <c r="D198" s="10" t="s">
        <v>1027</v>
      </c>
      <c r="E198" s="9" t="s">
        <v>655</v>
      </c>
      <c r="F198" s="34" t="s">
        <v>656</v>
      </c>
      <c r="G198" s="73" t="s">
        <v>530</v>
      </c>
      <c r="H198" s="33">
        <v>400614</v>
      </c>
      <c r="I198" s="90">
        <v>75</v>
      </c>
      <c r="J198" s="90" t="str">
        <f t="shared" si="121"/>
        <v>51-80</v>
      </c>
      <c r="K198" s="91">
        <f t="shared" si="122"/>
        <v>6509</v>
      </c>
      <c r="L198" s="99">
        <v>28</v>
      </c>
      <c r="M198" s="99" t="str">
        <f t="shared" si="123"/>
        <v>21-30</v>
      </c>
      <c r="N198" s="100">
        <f t="shared" si="120"/>
        <v>4508.6394748902885</v>
      </c>
      <c r="O198" s="51">
        <v>67</v>
      </c>
      <c r="P198" s="51" t="str">
        <f t="shared" si="128"/>
        <v>51-80</v>
      </c>
      <c r="Q198" s="51">
        <f t="shared" si="124"/>
        <v>6509</v>
      </c>
      <c r="R198" s="49">
        <v>38</v>
      </c>
      <c r="S198" s="49" t="str">
        <f t="shared" si="125"/>
        <v>31-50</v>
      </c>
      <c r="T198" s="49">
        <f t="shared" si="126"/>
        <v>5073.1976040297868</v>
      </c>
      <c r="U198" s="50">
        <v>23</v>
      </c>
      <c r="V198" s="50" t="str">
        <f t="shared" si="129"/>
        <v>21-30</v>
      </c>
      <c r="W198" s="50">
        <f t="shared" si="130"/>
        <v>4508.6394748902885</v>
      </c>
      <c r="X198" s="143">
        <v>46</v>
      </c>
      <c r="Y198" s="143" t="str">
        <f t="shared" si="131"/>
        <v>31-50</v>
      </c>
      <c r="Z198" s="143">
        <f t="shared" si="132"/>
        <v>5073.1976040297868</v>
      </c>
      <c r="AA198" s="116"/>
      <c r="AB198" s="114" t="str">
        <f t="shared" si="133"/>
        <v>0-20</v>
      </c>
      <c r="AC198" s="114">
        <f t="shared" si="134"/>
        <v>3844.3574443810608</v>
      </c>
      <c r="AD198" s="129"/>
      <c r="AE198" s="129" t="str">
        <f t="shared" si="111"/>
        <v>0-20</v>
      </c>
      <c r="AF198" s="129">
        <f t="shared" si="112"/>
        <v>3844.3574443810608</v>
      </c>
      <c r="AG198" s="138">
        <v>110</v>
      </c>
      <c r="AH198" s="138" t="str">
        <f t="shared" si="113"/>
        <v>110-130</v>
      </c>
      <c r="AI198" s="138">
        <f t="shared" si="114"/>
        <v>10159.810450732197</v>
      </c>
      <c r="AJ198" s="36"/>
      <c r="AK198" s="36"/>
      <c r="AL198" s="37"/>
      <c r="AM198" s="79">
        <v>42</v>
      </c>
      <c r="AN198" s="50" t="str">
        <f>VLOOKUP(AM198,$AV$3:$AW$9,2,1)</f>
        <v>31-50</v>
      </c>
      <c r="AO198" s="124">
        <f>VLOOKUP(AN198,$AW$3:$AX$9,2,0)</f>
        <v>5073.1976040297868</v>
      </c>
      <c r="AP198" s="133"/>
      <c r="AQ198" s="133" t="str">
        <f t="shared" si="135"/>
        <v>0-20</v>
      </c>
      <c r="AR198" s="133">
        <f t="shared" si="136"/>
        <v>3844.3574443810608</v>
      </c>
      <c r="AS198" s="131"/>
      <c r="AT198" s="131"/>
      <c r="AU198" s="4"/>
    </row>
    <row r="199" spans="1:48" s="14" customFormat="1" x14ac:dyDescent="0.25">
      <c r="A199" s="32">
        <v>190</v>
      </c>
      <c r="B199" s="13" t="s">
        <v>21</v>
      </c>
      <c r="C199" s="9" t="s">
        <v>657</v>
      </c>
      <c r="D199" s="10" t="s">
        <v>1028</v>
      </c>
      <c r="E199" s="9" t="s">
        <v>658</v>
      </c>
      <c r="F199" s="34" t="s">
        <v>712</v>
      </c>
      <c r="G199" s="73" t="s">
        <v>2</v>
      </c>
      <c r="H199" s="33">
        <v>421302</v>
      </c>
      <c r="I199" s="90">
        <v>116</v>
      </c>
      <c r="J199" s="90" t="str">
        <f t="shared" si="121"/>
        <v>110-130</v>
      </c>
      <c r="K199" s="91">
        <f t="shared" si="122"/>
        <v>10159.810450732197</v>
      </c>
      <c r="L199" s="35">
        <v>28</v>
      </c>
      <c r="M199" s="35" t="str">
        <f t="shared" si="123"/>
        <v>21-30</v>
      </c>
      <c r="N199" s="36">
        <f t="shared" si="120"/>
        <v>4508.6394748902885</v>
      </c>
      <c r="O199" s="51">
        <v>67</v>
      </c>
      <c r="P199" s="51" t="str">
        <f t="shared" si="128"/>
        <v>51-80</v>
      </c>
      <c r="Q199" s="51">
        <f t="shared" si="124"/>
        <v>6509</v>
      </c>
      <c r="R199" s="49">
        <v>48</v>
      </c>
      <c r="S199" s="49" t="str">
        <f t="shared" si="125"/>
        <v>31-50</v>
      </c>
      <c r="T199" s="49">
        <f t="shared" si="126"/>
        <v>5073.1976040297868</v>
      </c>
      <c r="U199" s="50">
        <v>41</v>
      </c>
      <c r="V199" s="50" t="str">
        <f t="shared" si="129"/>
        <v>31-50</v>
      </c>
      <c r="W199" s="50">
        <f t="shared" si="130"/>
        <v>5073.1976040297868</v>
      </c>
      <c r="X199" s="143" t="s">
        <v>1458</v>
      </c>
      <c r="Y199" s="143" t="e">
        <f t="shared" si="131"/>
        <v>#N/A</v>
      </c>
      <c r="Z199" s="143" t="e">
        <f t="shared" si="132"/>
        <v>#N/A</v>
      </c>
      <c r="AA199" s="116"/>
      <c r="AB199" s="114" t="str">
        <f t="shared" si="133"/>
        <v>0-20</v>
      </c>
      <c r="AC199" s="114">
        <f t="shared" si="134"/>
        <v>3844.3574443810608</v>
      </c>
      <c r="AD199" s="129"/>
      <c r="AE199" s="129" t="str">
        <f t="shared" si="111"/>
        <v>0-20</v>
      </c>
      <c r="AF199" s="129">
        <f t="shared" si="112"/>
        <v>3844.3574443810608</v>
      </c>
      <c r="AG199" s="138">
        <v>75</v>
      </c>
      <c r="AH199" s="138" t="str">
        <f t="shared" si="113"/>
        <v>51-80</v>
      </c>
      <c r="AI199" s="138">
        <f t="shared" si="114"/>
        <v>6509</v>
      </c>
      <c r="AJ199" s="36"/>
      <c r="AK199" s="36"/>
      <c r="AL199" s="37"/>
      <c r="AM199" s="79"/>
      <c r="AN199" s="79"/>
      <c r="AO199" s="79"/>
      <c r="AP199" s="133"/>
      <c r="AQ199" s="133" t="str">
        <f t="shared" si="135"/>
        <v>0-20</v>
      </c>
      <c r="AR199" s="133">
        <f t="shared" si="136"/>
        <v>3844.3574443810608</v>
      </c>
      <c r="AS199" s="131"/>
      <c r="AT199" s="131"/>
      <c r="AU199" s="4"/>
    </row>
    <row r="200" spans="1:48" s="14" customFormat="1" x14ac:dyDescent="0.25">
      <c r="A200" s="32">
        <v>191</v>
      </c>
      <c r="B200" s="13" t="s">
        <v>21</v>
      </c>
      <c r="C200" s="9" t="s">
        <v>899</v>
      </c>
      <c r="D200" s="10" t="s">
        <v>1029</v>
      </c>
      <c r="E200" s="9" t="s">
        <v>898</v>
      </c>
      <c r="F200" s="34" t="s">
        <v>900</v>
      </c>
      <c r="G200" s="73" t="s">
        <v>901</v>
      </c>
      <c r="H200" s="33">
        <v>421306</v>
      </c>
      <c r="I200" s="90">
        <v>82</v>
      </c>
      <c r="J200" s="90" t="str">
        <f t="shared" si="121"/>
        <v>81-110</v>
      </c>
      <c r="K200" s="91">
        <f t="shared" si="122"/>
        <v>8747.8561594387575</v>
      </c>
      <c r="L200" s="35">
        <v>35</v>
      </c>
      <c r="M200" s="35" t="str">
        <f t="shared" si="123"/>
        <v>31-50</v>
      </c>
      <c r="N200" s="36">
        <f t="shared" si="120"/>
        <v>5073.1976040297868</v>
      </c>
      <c r="O200" s="51">
        <v>62</v>
      </c>
      <c r="P200" s="51" t="str">
        <f t="shared" si="128"/>
        <v>51-80</v>
      </c>
      <c r="Q200" s="51">
        <f t="shared" si="124"/>
        <v>6509</v>
      </c>
      <c r="R200" s="49">
        <v>49</v>
      </c>
      <c r="S200" s="49" t="str">
        <f t="shared" si="125"/>
        <v>31-50</v>
      </c>
      <c r="T200" s="49">
        <f t="shared" si="126"/>
        <v>5073.1976040297868</v>
      </c>
      <c r="U200" s="50">
        <v>43</v>
      </c>
      <c r="V200" s="50" t="str">
        <f t="shared" si="129"/>
        <v>31-50</v>
      </c>
      <c r="W200" s="50">
        <f t="shared" si="130"/>
        <v>5073.1976040297868</v>
      </c>
      <c r="X200" s="143">
        <v>36</v>
      </c>
      <c r="Y200" s="143" t="str">
        <f t="shared" si="131"/>
        <v>31-50</v>
      </c>
      <c r="Z200" s="143">
        <f t="shared" si="132"/>
        <v>5073.1976040297868</v>
      </c>
      <c r="AA200" s="116"/>
      <c r="AB200" s="114" t="str">
        <f t="shared" si="133"/>
        <v>0-20</v>
      </c>
      <c r="AC200" s="114">
        <f t="shared" si="134"/>
        <v>3844.3574443810608</v>
      </c>
      <c r="AD200" s="129">
        <v>24</v>
      </c>
      <c r="AE200" s="129" t="str">
        <f t="shared" si="111"/>
        <v>21-30</v>
      </c>
      <c r="AF200" s="129">
        <f t="shared" si="112"/>
        <v>4508.6394748902885</v>
      </c>
      <c r="AG200" s="139">
        <v>109</v>
      </c>
      <c r="AH200" s="138" t="str">
        <f t="shared" si="113"/>
        <v>81-110</v>
      </c>
      <c r="AI200" s="138">
        <f t="shared" si="114"/>
        <v>8747.8561594387575</v>
      </c>
      <c r="AJ200" s="36"/>
      <c r="AK200" s="36"/>
      <c r="AL200" s="37"/>
      <c r="AM200" s="79"/>
      <c r="AN200" s="79"/>
      <c r="AO200" s="79"/>
      <c r="AP200" s="133"/>
      <c r="AQ200" s="133" t="str">
        <f t="shared" si="135"/>
        <v>0-20</v>
      </c>
      <c r="AR200" s="133">
        <f t="shared" si="136"/>
        <v>3844.3574443810608</v>
      </c>
      <c r="AS200" s="131"/>
      <c r="AT200" s="131"/>
      <c r="AU200" s="4"/>
    </row>
    <row r="201" spans="1:48" s="14" customFormat="1" x14ac:dyDescent="0.25">
      <c r="A201" s="32">
        <v>192</v>
      </c>
      <c r="B201" s="13" t="s">
        <v>21</v>
      </c>
      <c r="C201" s="9" t="s">
        <v>659</v>
      </c>
      <c r="D201" s="10" t="s">
        <v>1030</v>
      </c>
      <c r="E201" s="9" t="s">
        <v>660</v>
      </c>
      <c r="F201" s="34" t="s">
        <v>661</v>
      </c>
      <c r="G201" s="73" t="s">
        <v>662</v>
      </c>
      <c r="H201" s="33">
        <v>410210</v>
      </c>
      <c r="I201" s="90">
        <v>71</v>
      </c>
      <c r="J201" s="91" t="str">
        <f t="shared" si="121"/>
        <v>51-80</v>
      </c>
      <c r="K201" s="91">
        <f t="shared" si="122"/>
        <v>6509</v>
      </c>
      <c r="L201" s="35">
        <v>31</v>
      </c>
      <c r="M201" s="35" t="str">
        <f t="shared" si="123"/>
        <v>31-50</v>
      </c>
      <c r="N201" s="36">
        <f t="shared" si="120"/>
        <v>5073.1976040297868</v>
      </c>
      <c r="O201" s="51">
        <v>65</v>
      </c>
      <c r="P201" s="51" t="str">
        <f t="shared" si="128"/>
        <v>51-80</v>
      </c>
      <c r="Q201" s="51">
        <f t="shared" si="124"/>
        <v>6509</v>
      </c>
      <c r="R201" s="49">
        <v>36</v>
      </c>
      <c r="S201" s="49" t="str">
        <f t="shared" si="125"/>
        <v>31-50</v>
      </c>
      <c r="T201" s="49">
        <f t="shared" si="126"/>
        <v>5073.1976040297868</v>
      </c>
      <c r="U201" s="50">
        <v>27</v>
      </c>
      <c r="V201" s="50" t="str">
        <f t="shared" si="129"/>
        <v>21-30</v>
      </c>
      <c r="W201" s="50">
        <f t="shared" si="130"/>
        <v>4508.6394748902885</v>
      </c>
      <c r="X201" s="143">
        <v>44</v>
      </c>
      <c r="Y201" s="143" t="str">
        <f t="shared" si="131"/>
        <v>31-50</v>
      </c>
      <c r="Z201" s="143">
        <f t="shared" si="132"/>
        <v>5073.1976040297868</v>
      </c>
      <c r="AA201" s="116"/>
      <c r="AB201" s="114" t="str">
        <f t="shared" si="133"/>
        <v>0-20</v>
      </c>
      <c r="AC201" s="114">
        <f t="shared" si="134"/>
        <v>3844.3574443810608</v>
      </c>
      <c r="AD201" s="129"/>
      <c r="AE201" s="129" t="str">
        <f t="shared" si="111"/>
        <v>0-20</v>
      </c>
      <c r="AF201" s="129">
        <f t="shared" si="112"/>
        <v>3844.3574443810608</v>
      </c>
      <c r="AG201" s="138">
        <v>111</v>
      </c>
      <c r="AH201" s="138" t="str">
        <f t="shared" si="113"/>
        <v>110-130</v>
      </c>
      <c r="AI201" s="138">
        <f t="shared" si="114"/>
        <v>10159.810450732197</v>
      </c>
      <c r="AJ201" s="36"/>
      <c r="AK201" s="36"/>
      <c r="AL201" s="37"/>
      <c r="AM201" s="79">
        <v>38</v>
      </c>
      <c r="AN201" s="50" t="str">
        <f>VLOOKUP(AM201,$AV$3:$AW$9,2,1)</f>
        <v>31-50</v>
      </c>
      <c r="AO201" s="124">
        <f>VLOOKUP(AN201,$AW$3:$AX$9,2,0)</f>
        <v>5073.1976040297868</v>
      </c>
      <c r="AP201" s="133"/>
      <c r="AQ201" s="133" t="str">
        <f t="shared" si="135"/>
        <v>0-20</v>
      </c>
      <c r="AR201" s="133">
        <f t="shared" si="136"/>
        <v>3844.3574443810608</v>
      </c>
      <c r="AS201" s="131"/>
      <c r="AT201" s="131"/>
      <c r="AU201" s="4"/>
    </row>
    <row r="202" spans="1:48" s="14" customFormat="1" x14ac:dyDescent="0.25">
      <c r="A202" s="32">
        <v>193</v>
      </c>
      <c r="B202" s="13" t="s">
        <v>21</v>
      </c>
      <c r="C202" s="9" t="s">
        <v>663</v>
      </c>
      <c r="D202" s="10" t="s">
        <v>1031</v>
      </c>
      <c r="E202" s="9" t="s">
        <v>664</v>
      </c>
      <c r="F202" s="34" t="s">
        <v>665</v>
      </c>
      <c r="G202" s="73" t="s">
        <v>666</v>
      </c>
      <c r="H202" s="33">
        <v>400701</v>
      </c>
      <c r="I202" s="90">
        <v>89</v>
      </c>
      <c r="J202" s="91" t="str">
        <f t="shared" si="121"/>
        <v>81-110</v>
      </c>
      <c r="K202" s="91">
        <f t="shared" si="122"/>
        <v>8747.8561594387575</v>
      </c>
      <c r="L202" s="99">
        <v>15</v>
      </c>
      <c r="M202" s="99" t="str">
        <f t="shared" si="123"/>
        <v>0-20</v>
      </c>
      <c r="N202" s="100">
        <f t="shared" si="120"/>
        <v>3844.3574443810608</v>
      </c>
      <c r="O202" s="51">
        <v>58</v>
      </c>
      <c r="P202" s="51" t="str">
        <f t="shared" si="128"/>
        <v>51-80</v>
      </c>
      <c r="Q202" s="51">
        <f t="shared" si="124"/>
        <v>6509</v>
      </c>
      <c r="R202" s="49">
        <v>30</v>
      </c>
      <c r="S202" s="49" t="str">
        <f t="shared" si="125"/>
        <v>21-30</v>
      </c>
      <c r="T202" s="49">
        <f t="shared" si="126"/>
        <v>4508.6394748902885</v>
      </c>
      <c r="U202" s="50">
        <v>20</v>
      </c>
      <c r="V202" s="50" t="str">
        <f t="shared" si="129"/>
        <v>0-20</v>
      </c>
      <c r="W202" s="50">
        <f t="shared" si="130"/>
        <v>3844.3574443810608</v>
      </c>
      <c r="X202" s="143">
        <v>34</v>
      </c>
      <c r="Y202" s="143" t="str">
        <f t="shared" si="131"/>
        <v>31-50</v>
      </c>
      <c r="Z202" s="143">
        <f t="shared" si="132"/>
        <v>5073.1976040297868</v>
      </c>
      <c r="AA202" s="116"/>
      <c r="AB202" s="114" t="str">
        <f t="shared" si="133"/>
        <v>0-20</v>
      </c>
      <c r="AC202" s="114">
        <f t="shared" si="134"/>
        <v>3844.3574443810608</v>
      </c>
      <c r="AD202" s="129"/>
      <c r="AE202" s="129" t="str">
        <f t="shared" si="111"/>
        <v>0-20</v>
      </c>
      <c r="AF202" s="129">
        <f t="shared" si="112"/>
        <v>3844.3574443810608</v>
      </c>
      <c r="AG202" s="138">
        <v>96</v>
      </c>
      <c r="AH202" s="138" t="str">
        <f t="shared" si="113"/>
        <v>81-110</v>
      </c>
      <c r="AI202" s="138">
        <f t="shared" si="114"/>
        <v>8747.8561594387575</v>
      </c>
      <c r="AJ202" s="36"/>
      <c r="AK202" s="36"/>
      <c r="AL202" s="37"/>
      <c r="AM202" s="79">
        <v>56</v>
      </c>
      <c r="AN202" s="79" t="str">
        <f>VLOOKUP(AM202,$AV$3:$AW$9,2,1)</f>
        <v>51-80</v>
      </c>
      <c r="AO202" s="79">
        <f>VLOOKUP(AN202,$AW$3:$AX$9,2,0)</f>
        <v>6509</v>
      </c>
      <c r="AP202" s="133"/>
      <c r="AQ202" s="133" t="str">
        <f t="shared" si="135"/>
        <v>0-20</v>
      </c>
      <c r="AR202" s="133">
        <f t="shared" si="136"/>
        <v>3844.3574443810608</v>
      </c>
      <c r="AS202" s="131"/>
      <c r="AT202" s="131"/>
      <c r="AU202" s="4"/>
    </row>
    <row r="203" spans="1:48" s="14" customFormat="1" x14ac:dyDescent="0.25">
      <c r="A203" s="32">
        <v>194</v>
      </c>
      <c r="B203" s="13" t="s">
        <v>21</v>
      </c>
      <c r="C203" s="9" t="s">
        <v>668</v>
      </c>
      <c r="D203" s="10" t="s">
        <v>1032</v>
      </c>
      <c r="E203" s="9" t="s">
        <v>667</v>
      </c>
      <c r="F203" s="34" t="s">
        <v>669</v>
      </c>
      <c r="G203" s="73" t="s">
        <v>670</v>
      </c>
      <c r="H203" s="33">
        <v>400604</v>
      </c>
      <c r="I203" s="90">
        <v>102</v>
      </c>
      <c r="J203" s="90" t="str">
        <f t="shared" si="121"/>
        <v>81-110</v>
      </c>
      <c r="K203" s="91">
        <f t="shared" si="122"/>
        <v>8747.8561594387575</v>
      </c>
      <c r="L203" s="35">
        <v>3</v>
      </c>
      <c r="M203" s="35" t="str">
        <f t="shared" si="123"/>
        <v>0-20</v>
      </c>
      <c r="N203" s="36">
        <f t="shared" si="120"/>
        <v>3844.3574443810608</v>
      </c>
      <c r="O203" s="51">
        <v>45</v>
      </c>
      <c r="P203" s="51" t="str">
        <f t="shared" si="128"/>
        <v>31-50</v>
      </c>
      <c r="Q203" s="51">
        <f t="shared" si="124"/>
        <v>5073.1976040297868</v>
      </c>
      <c r="R203" s="49">
        <v>25</v>
      </c>
      <c r="S203" s="49" t="str">
        <f t="shared" si="125"/>
        <v>21-30</v>
      </c>
      <c r="T203" s="49">
        <f t="shared" si="126"/>
        <v>4508.6394748902885</v>
      </c>
      <c r="U203" s="50">
        <v>20</v>
      </c>
      <c r="V203" s="50" t="str">
        <f t="shared" si="129"/>
        <v>0-20</v>
      </c>
      <c r="W203" s="50">
        <f t="shared" si="130"/>
        <v>3844.3574443810608</v>
      </c>
      <c r="X203" s="143" t="s">
        <v>1458</v>
      </c>
      <c r="Y203" s="143" t="e">
        <f t="shared" si="131"/>
        <v>#N/A</v>
      </c>
      <c r="Z203" s="143" t="e">
        <f t="shared" si="132"/>
        <v>#N/A</v>
      </c>
      <c r="AA203" s="116"/>
      <c r="AB203" s="114" t="str">
        <f t="shared" si="133"/>
        <v>0-20</v>
      </c>
      <c r="AC203" s="114">
        <f t="shared" si="134"/>
        <v>3844.3574443810608</v>
      </c>
      <c r="AD203" s="129"/>
      <c r="AE203" s="129" t="str">
        <f t="shared" si="111"/>
        <v>0-20</v>
      </c>
      <c r="AF203" s="129">
        <f t="shared" si="112"/>
        <v>3844.3574443810608</v>
      </c>
      <c r="AG203" s="138">
        <v>88</v>
      </c>
      <c r="AH203" s="138" t="str">
        <f t="shared" si="113"/>
        <v>81-110</v>
      </c>
      <c r="AI203" s="138">
        <f t="shared" si="114"/>
        <v>8747.8561594387575</v>
      </c>
      <c r="AJ203" s="36"/>
      <c r="AK203" s="36"/>
      <c r="AL203" s="37"/>
      <c r="AM203" s="79"/>
      <c r="AN203" s="79"/>
      <c r="AO203" s="79"/>
      <c r="AP203" s="133"/>
      <c r="AQ203" s="133" t="str">
        <f t="shared" si="135"/>
        <v>0-20</v>
      </c>
      <c r="AR203" s="133">
        <f t="shared" si="136"/>
        <v>3844.3574443810608</v>
      </c>
      <c r="AS203" s="131"/>
      <c r="AT203" s="131"/>
      <c r="AU203" s="4"/>
    </row>
    <row r="204" spans="1:48" s="14" customFormat="1" x14ac:dyDescent="0.25">
      <c r="A204" s="32">
        <v>195</v>
      </c>
      <c r="B204" s="13" t="s">
        <v>21</v>
      </c>
      <c r="C204" s="9" t="s">
        <v>671</v>
      </c>
      <c r="D204" s="10">
        <v>0</v>
      </c>
      <c r="E204" s="9" t="s">
        <v>672</v>
      </c>
      <c r="F204" s="34" t="s">
        <v>673</v>
      </c>
      <c r="G204" s="73" t="s">
        <v>674</v>
      </c>
      <c r="H204" s="33">
        <v>401209</v>
      </c>
      <c r="I204" s="90">
        <v>139</v>
      </c>
      <c r="J204" s="90" t="str">
        <f t="shared" si="121"/>
        <v>110-130</v>
      </c>
      <c r="K204" s="91">
        <f t="shared" si="122"/>
        <v>10159.810450732197</v>
      </c>
      <c r="L204" s="35">
        <v>46</v>
      </c>
      <c r="M204" s="35" t="str">
        <f t="shared" si="123"/>
        <v>31-50</v>
      </c>
      <c r="N204" s="36">
        <f t="shared" si="120"/>
        <v>5073.1976040297868</v>
      </c>
      <c r="O204" s="51">
        <v>11</v>
      </c>
      <c r="P204" s="51" t="str">
        <f t="shared" si="128"/>
        <v>0-20</v>
      </c>
      <c r="Q204" s="51">
        <f t="shared" si="124"/>
        <v>3844.3574443810608</v>
      </c>
      <c r="R204" s="49">
        <v>47</v>
      </c>
      <c r="S204" s="49" t="str">
        <f t="shared" si="125"/>
        <v>31-50</v>
      </c>
      <c r="T204" s="49">
        <f t="shared" si="126"/>
        <v>5073.1976040297868</v>
      </c>
      <c r="U204" s="50">
        <v>61</v>
      </c>
      <c r="V204" s="50" t="str">
        <f t="shared" si="129"/>
        <v>51-80</v>
      </c>
      <c r="W204" s="50">
        <f t="shared" si="130"/>
        <v>6509</v>
      </c>
      <c r="X204" s="143" t="s">
        <v>1458</v>
      </c>
      <c r="Y204" s="143" t="e">
        <f t="shared" si="131"/>
        <v>#N/A</v>
      </c>
      <c r="Z204" s="143" t="e">
        <f t="shared" si="132"/>
        <v>#N/A</v>
      </c>
      <c r="AA204" s="116"/>
      <c r="AB204" s="114" t="str">
        <f t="shared" si="133"/>
        <v>0-20</v>
      </c>
      <c r="AC204" s="114">
        <f t="shared" si="134"/>
        <v>3844.3574443810608</v>
      </c>
      <c r="AD204" s="129"/>
      <c r="AE204" s="129" t="str">
        <f t="shared" si="111"/>
        <v>0-20</v>
      </c>
      <c r="AF204" s="129">
        <f t="shared" si="112"/>
        <v>3844.3574443810608</v>
      </c>
      <c r="AG204" s="139">
        <v>54</v>
      </c>
      <c r="AH204" s="138" t="str">
        <f t="shared" si="113"/>
        <v>51-80</v>
      </c>
      <c r="AI204" s="138">
        <f t="shared" si="114"/>
        <v>6509</v>
      </c>
      <c r="AJ204" s="36"/>
      <c r="AK204" s="36"/>
      <c r="AL204" s="37"/>
      <c r="AM204" s="79"/>
      <c r="AN204" s="79"/>
      <c r="AO204" s="79"/>
      <c r="AP204" s="133"/>
      <c r="AQ204" s="133" t="str">
        <f t="shared" si="135"/>
        <v>0-20</v>
      </c>
      <c r="AR204" s="133">
        <f t="shared" si="136"/>
        <v>3844.3574443810608</v>
      </c>
      <c r="AS204" s="131"/>
      <c r="AT204" s="131"/>
      <c r="AU204" s="4"/>
    </row>
    <row r="205" spans="1:48" s="14" customFormat="1" x14ac:dyDescent="0.25">
      <c r="A205" s="32">
        <v>196</v>
      </c>
      <c r="B205" s="13" t="s">
        <v>21</v>
      </c>
      <c r="C205" s="9" t="s">
        <v>675</v>
      </c>
      <c r="D205" s="10" t="s">
        <v>1033</v>
      </c>
      <c r="E205" s="9" t="s">
        <v>676</v>
      </c>
      <c r="F205" s="34" t="s">
        <v>677</v>
      </c>
      <c r="G205" s="73" t="s">
        <v>678</v>
      </c>
      <c r="H205" s="33">
        <v>400607</v>
      </c>
      <c r="I205" s="90">
        <v>103</v>
      </c>
      <c r="J205" s="90" t="str">
        <f t="shared" si="121"/>
        <v>81-110</v>
      </c>
      <c r="K205" s="91">
        <f t="shared" si="122"/>
        <v>8747.8561594387575</v>
      </c>
      <c r="L205" s="35">
        <v>10</v>
      </c>
      <c r="M205" s="35" t="str">
        <f t="shared" si="123"/>
        <v>0-20</v>
      </c>
      <c r="N205" s="36">
        <f t="shared" si="120"/>
        <v>3844.3574443810608</v>
      </c>
      <c r="O205" s="51">
        <v>37</v>
      </c>
      <c r="P205" s="51" t="str">
        <f t="shared" si="128"/>
        <v>31-50</v>
      </c>
      <c r="Q205" s="51">
        <f t="shared" si="124"/>
        <v>5073.1976040297868</v>
      </c>
      <c r="R205" s="49">
        <v>30</v>
      </c>
      <c r="S205" s="49" t="str">
        <f t="shared" si="125"/>
        <v>21-30</v>
      </c>
      <c r="T205" s="49">
        <f t="shared" si="126"/>
        <v>4508.6394748902885</v>
      </c>
      <c r="U205" s="50">
        <v>26</v>
      </c>
      <c r="V205" s="50" t="str">
        <f t="shared" si="129"/>
        <v>21-30</v>
      </c>
      <c r="W205" s="50">
        <f t="shared" si="130"/>
        <v>4508.6394748902885</v>
      </c>
      <c r="X205" s="143" t="s">
        <v>1458</v>
      </c>
      <c r="Y205" s="143" t="e">
        <f t="shared" si="131"/>
        <v>#N/A</v>
      </c>
      <c r="Z205" s="143" t="e">
        <f t="shared" si="132"/>
        <v>#N/A</v>
      </c>
      <c r="AA205" s="116"/>
      <c r="AB205" s="114" t="str">
        <f t="shared" si="133"/>
        <v>0-20</v>
      </c>
      <c r="AC205" s="114">
        <f t="shared" si="134"/>
        <v>3844.3574443810608</v>
      </c>
      <c r="AD205" s="129"/>
      <c r="AE205" s="129" t="str">
        <f t="shared" si="111"/>
        <v>0-20</v>
      </c>
      <c r="AF205" s="129">
        <f t="shared" si="112"/>
        <v>3844.3574443810608</v>
      </c>
      <c r="AG205" s="138">
        <v>85</v>
      </c>
      <c r="AH205" s="138" t="str">
        <f t="shared" si="113"/>
        <v>81-110</v>
      </c>
      <c r="AI205" s="138">
        <f t="shared" si="114"/>
        <v>8747.8561594387575</v>
      </c>
      <c r="AJ205" s="36"/>
      <c r="AK205" s="36"/>
      <c r="AL205" s="37"/>
      <c r="AM205" s="79"/>
      <c r="AN205" s="79"/>
      <c r="AO205" s="79"/>
      <c r="AP205" s="133"/>
      <c r="AQ205" s="133" t="str">
        <f t="shared" si="135"/>
        <v>0-20</v>
      </c>
      <c r="AR205" s="133">
        <f t="shared" si="136"/>
        <v>3844.3574443810608</v>
      </c>
      <c r="AS205" s="131"/>
      <c r="AT205" s="131"/>
      <c r="AU205" s="4"/>
    </row>
    <row r="206" spans="1:48" s="14" customFormat="1" x14ac:dyDescent="0.25">
      <c r="A206" s="32">
        <v>197</v>
      </c>
      <c r="B206" s="13" t="s">
        <v>21</v>
      </c>
      <c r="C206" s="9" t="s">
        <v>679</v>
      </c>
      <c r="D206" s="10" t="s">
        <v>1034</v>
      </c>
      <c r="E206" s="9" t="s">
        <v>680</v>
      </c>
      <c r="F206" s="34" t="s">
        <v>801</v>
      </c>
      <c r="G206" s="73" t="s">
        <v>684</v>
      </c>
      <c r="H206" s="33">
        <v>421302</v>
      </c>
      <c r="I206" s="90">
        <v>111</v>
      </c>
      <c r="J206" s="91" t="str">
        <f t="shared" si="121"/>
        <v>110-130</v>
      </c>
      <c r="K206" s="91">
        <f t="shared" si="122"/>
        <v>10159.810450732197</v>
      </c>
      <c r="L206" s="35">
        <v>27</v>
      </c>
      <c r="M206" s="35" t="str">
        <f t="shared" si="123"/>
        <v>21-30</v>
      </c>
      <c r="N206" s="36">
        <f t="shared" si="120"/>
        <v>4508.6394748902885</v>
      </c>
      <c r="O206" s="51">
        <v>43</v>
      </c>
      <c r="P206" s="51" t="str">
        <f t="shared" si="128"/>
        <v>31-50</v>
      </c>
      <c r="Q206" s="51">
        <f t="shared" si="124"/>
        <v>5073.1976040297868</v>
      </c>
      <c r="R206" s="49">
        <v>45</v>
      </c>
      <c r="S206" s="49" t="str">
        <f t="shared" si="125"/>
        <v>31-50</v>
      </c>
      <c r="T206" s="49">
        <f t="shared" si="126"/>
        <v>5073.1976040297868</v>
      </c>
      <c r="U206" s="50">
        <v>43</v>
      </c>
      <c r="V206" s="50" t="str">
        <f t="shared" si="129"/>
        <v>31-50</v>
      </c>
      <c r="W206" s="50">
        <f t="shared" si="130"/>
        <v>5073.1976040297868</v>
      </c>
      <c r="X206" s="143" t="s">
        <v>1458</v>
      </c>
      <c r="Y206" s="143" t="e">
        <f t="shared" si="131"/>
        <v>#N/A</v>
      </c>
      <c r="Z206" s="143" t="e">
        <f t="shared" si="132"/>
        <v>#N/A</v>
      </c>
      <c r="AA206" s="116"/>
      <c r="AB206" s="114" t="str">
        <f t="shared" si="133"/>
        <v>0-20</v>
      </c>
      <c r="AC206" s="114">
        <f t="shared" si="134"/>
        <v>3844.3574443810608</v>
      </c>
      <c r="AD206" s="129"/>
      <c r="AE206" s="129" t="str">
        <f t="shared" si="111"/>
        <v>0-20</v>
      </c>
      <c r="AF206" s="129">
        <f t="shared" si="112"/>
        <v>3844.3574443810608</v>
      </c>
      <c r="AG206" s="138">
        <v>75</v>
      </c>
      <c r="AH206" s="138" t="str">
        <f t="shared" si="113"/>
        <v>51-80</v>
      </c>
      <c r="AI206" s="138">
        <f t="shared" si="114"/>
        <v>6509</v>
      </c>
      <c r="AJ206" s="36"/>
      <c r="AK206" s="36"/>
      <c r="AL206" s="37"/>
      <c r="AM206" s="79">
        <v>75</v>
      </c>
      <c r="AN206" s="79"/>
      <c r="AO206" s="79"/>
      <c r="AP206" s="133"/>
      <c r="AQ206" s="133" t="str">
        <f t="shared" si="135"/>
        <v>0-20</v>
      </c>
      <c r="AR206" s="133">
        <f t="shared" si="136"/>
        <v>3844.3574443810608</v>
      </c>
      <c r="AS206" s="131"/>
      <c r="AT206" s="131"/>
      <c r="AU206" s="4"/>
    </row>
    <row r="207" spans="1:48" s="14" customFormat="1" x14ac:dyDescent="0.25">
      <c r="A207" s="32">
        <v>198</v>
      </c>
      <c r="B207" s="13" t="s">
        <v>21</v>
      </c>
      <c r="C207" s="9" t="s">
        <v>681</v>
      </c>
      <c r="D207" s="10" t="s">
        <v>1035</v>
      </c>
      <c r="E207" s="9" t="s">
        <v>682</v>
      </c>
      <c r="F207" s="34" t="s">
        <v>683</v>
      </c>
      <c r="G207" s="73" t="s">
        <v>565</v>
      </c>
      <c r="H207" s="33">
        <v>401506</v>
      </c>
      <c r="I207" s="90">
        <v>197</v>
      </c>
      <c r="J207" s="90" t="str">
        <f t="shared" si="121"/>
        <v>110-130</v>
      </c>
      <c r="K207" s="91">
        <f t="shared" si="122"/>
        <v>10159.810450732197</v>
      </c>
      <c r="L207" s="35">
        <v>104</v>
      </c>
      <c r="M207" s="35" t="str">
        <f t="shared" si="123"/>
        <v>81-110</v>
      </c>
      <c r="N207" s="36">
        <f t="shared" si="120"/>
        <v>8747.8561594387575</v>
      </c>
      <c r="O207" s="51">
        <v>62</v>
      </c>
      <c r="P207" s="51" t="str">
        <f t="shared" si="128"/>
        <v>51-80</v>
      </c>
      <c r="Q207" s="51">
        <f t="shared" si="124"/>
        <v>6509</v>
      </c>
      <c r="R207" s="49">
        <v>106</v>
      </c>
      <c r="S207" s="49" t="str">
        <f t="shared" si="125"/>
        <v>81-110</v>
      </c>
      <c r="T207" s="49">
        <f t="shared" si="126"/>
        <v>8747.8561594387575</v>
      </c>
      <c r="U207" s="50">
        <v>119</v>
      </c>
      <c r="V207" s="50" t="str">
        <f t="shared" si="129"/>
        <v>110-130</v>
      </c>
      <c r="W207" s="50">
        <f t="shared" si="130"/>
        <v>10159.810450732197</v>
      </c>
      <c r="X207" s="143" t="s">
        <v>1458</v>
      </c>
      <c r="Y207" s="143" t="e">
        <f t="shared" si="131"/>
        <v>#N/A</v>
      </c>
      <c r="Z207" s="143" t="e">
        <f t="shared" si="132"/>
        <v>#N/A</v>
      </c>
      <c r="AA207" s="116"/>
      <c r="AB207" s="114" t="str">
        <f t="shared" si="133"/>
        <v>0-20</v>
      </c>
      <c r="AC207" s="114">
        <f t="shared" si="134"/>
        <v>3844.3574443810608</v>
      </c>
      <c r="AD207" s="129"/>
      <c r="AE207" s="129" t="str">
        <f t="shared" si="111"/>
        <v>0-20</v>
      </c>
      <c r="AF207" s="129">
        <f t="shared" si="112"/>
        <v>3844.3574443810608</v>
      </c>
      <c r="AG207" s="138">
        <v>44</v>
      </c>
      <c r="AH207" s="138" t="str">
        <f t="shared" si="113"/>
        <v>31-50</v>
      </c>
      <c r="AI207" s="138">
        <f t="shared" si="114"/>
        <v>5073.1976040297868</v>
      </c>
      <c r="AJ207" s="36"/>
      <c r="AK207" s="36"/>
      <c r="AL207" s="37"/>
      <c r="AM207" s="79"/>
      <c r="AN207" s="79"/>
      <c r="AO207" s="79"/>
      <c r="AP207" s="133"/>
      <c r="AQ207" s="133" t="str">
        <f t="shared" si="135"/>
        <v>0-20</v>
      </c>
      <c r="AR207" s="133">
        <f t="shared" si="136"/>
        <v>3844.3574443810608</v>
      </c>
      <c r="AS207" s="131"/>
      <c r="AT207" s="131"/>
      <c r="AU207" s="4"/>
    </row>
    <row r="208" spans="1:48" s="14" customFormat="1" x14ac:dyDescent="0.25">
      <c r="A208" s="32">
        <v>199</v>
      </c>
      <c r="B208" s="13" t="s">
        <v>21</v>
      </c>
      <c r="C208" s="9" t="s">
        <v>685</v>
      </c>
      <c r="D208" s="10" t="s">
        <v>1036</v>
      </c>
      <c r="E208" s="9" t="s">
        <v>686</v>
      </c>
      <c r="F208" s="34" t="s">
        <v>687</v>
      </c>
      <c r="G208" s="73" t="s">
        <v>578</v>
      </c>
      <c r="H208" s="33">
        <v>410206</v>
      </c>
      <c r="I208" s="90">
        <v>71</v>
      </c>
      <c r="J208" s="91" t="str">
        <f t="shared" si="121"/>
        <v>51-80</v>
      </c>
      <c r="K208" s="91">
        <f t="shared" si="122"/>
        <v>6509</v>
      </c>
      <c r="L208" s="35">
        <v>35</v>
      </c>
      <c r="M208" s="35" t="str">
        <f t="shared" si="123"/>
        <v>31-50</v>
      </c>
      <c r="N208" s="36">
        <f t="shared" ref="N208:N239" si="137">VLOOKUP(M208,$AW$3:$AX$9,2,0)</f>
        <v>5073.1976040297868</v>
      </c>
      <c r="O208" s="51">
        <v>74</v>
      </c>
      <c r="P208" s="51" t="str">
        <f t="shared" si="128"/>
        <v>51-80</v>
      </c>
      <c r="Q208" s="51">
        <f t="shared" si="124"/>
        <v>6509</v>
      </c>
      <c r="R208" s="49">
        <v>42</v>
      </c>
      <c r="S208" s="49" t="str">
        <f t="shared" si="125"/>
        <v>31-50</v>
      </c>
      <c r="T208" s="49">
        <f t="shared" si="126"/>
        <v>5073.1976040297868</v>
      </c>
      <c r="U208" s="50">
        <v>31</v>
      </c>
      <c r="V208" s="50" t="str">
        <f t="shared" si="129"/>
        <v>31-50</v>
      </c>
      <c r="W208" s="50">
        <f t="shared" si="130"/>
        <v>5073.1976040297868</v>
      </c>
      <c r="X208" s="143">
        <v>52</v>
      </c>
      <c r="Y208" s="143" t="str">
        <f t="shared" si="131"/>
        <v>51-80</v>
      </c>
      <c r="Z208" s="143">
        <f t="shared" si="132"/>
        <v>6509</v>
      </c>
      <c r="AA208" s="116"/>
      <c r="AB208" s="114" t="str">
        <f t="shared" si="133"/>
        <v>0-20</v>
      </c>
      <c r="AC208" s="114">
        <f t="shared" si="134"/>
        <v>3844.3574443810608</v>
      </c>
      <c r="AD208" s="129"/>
      <c r="AE208" s="129" t="str">
        <f t="shared" si="111"/>
        <v>0-20</v>
      </c>
      <c r="AF208" s="129">
        <f t="shared" si="112"/>
        <v>3844.3574443810608</v>
      </c>
      <c r="AG208" s="139">
        <v>106</v>
      </c>
      <c r="AH208" s="138" t="str">
        <f t="shared" si="113"/>
        <v>81-110</v>
      </c>
      <c r="AI208" s="138">
        <f t="shared" si="114"/>
        <v>8747.8561594387575</v>
      </c>
      <c r="AJ208" s="36"/>
      <c r="AK208" s="36"/>
      <c r="AL208" s="37"/>
      <c r="AM208" s="79">
        <v>37</v>
      </c>
      <c r="AN208" s="86" t="str">
        <f>VLOOKUP(AM208,$AV$3:$AW$9,2,1)</f>
        <v>31-50</v>
      </c>
      <c r="AO208" s="128">
        <f>VLOOKUP(AN208,$AW$3:$AX$9,2,0)</f>
        <v>5073.1976040297868</v>
      </c>
      <c r="AP208" s="133"/>
      <c r="AQ208" s="133" t="str">
        <f t="shared" si="135"/>
        <v>0-20</v>
      </c>
      <c r="AR208" s="133">
        <f t="shared" si="136"/>
        <v>3844.3574443810608</v>
      </c>
      <c r="AS208" s="131"/>
      <c r="AT208" s="131"/>
      <c r="AU208" s="4"/>
    </row>
    <row r="209" spans="1:47" s="14" customFormat="1" x14ac:dyDescent="0.25">
      <c r="A209" s="32">
        <v>200</v>
      </c>
      <c r="B209" s="13" t="s">
        <v>21</v>
      </c>
      <c r="C209" t="s">
        <v>691</v>
      </c>
      <c r="D209" s="10">
        <v>0</v>
      </c>
      <c r="E209" t="s">
        <v>692</v>
      </c>
      <c r="F209" s="71" t="s">
        <v>694</v>
      </c>
      <c r="G209" s="73" t="s">
        <v>693</v>
      </c>
      <c r="H209" s="33">
        <v>421601</v>
      </c>
      <c r="I209" s="90">
        <v>126</v>
      </c>
      <c r="J209" s="91" t="str">
        <f t="shared" si="121"/>
        <v>110-130</v>
      </c>
      <c r="K209" s="91">
        <f t="shared" si="122"/>
        <v>10159.810450732197</v>
      </c>
      <c r="L209" s="35">
        <v>54</v>
      </c>
      <c r="M209" s="35" t="str">
        <f t="shared" si="123"/>
        <v>51-80</v>
      </c>
      <c r="N209" s="36">
        <f t="shared" si="137"/>
        <v>6509</v>
      </c>
      <c r="O209" s="51">
        <v>57</v>
      </c>
      <c r="P209" s="51" t="str">
        <f t="shared" si="128"/>
        <v>51-80</v>
      </c>
      <c r="Q209" s="51">
        <f t="shared" si="124"/>
        <v>6509</v>
      </c>
      <c r="R209" s="49">
        <v>72</v>
      </c>
      <c r="S209" s="49" t="str">
        <f t="shared" si="125"/>
        <v>51-80</v>
      </c>
      <c r="T209" s="49">
        <f t="shared" si="126"/>
        <v>6509</v>
      </c>
      <c r="U209" s="50">
        <v>70</v>
      </c>
      <c r="V209" s="50" t="str">
        <f t="shared" si="129"/>
        <v>51-80</v>
      </c>
      <c r="W209" s="50">
        <f t="shared" si="130"/>
        <v>6509</v>
      </c>
      <c r="X209" s="143" t="s">
        <v>1458</v>
      </c>
      <c r="Y209" s="143" t="e">
        <f t="shared" si="131"/>
        <v>#N/A</v>
      </c>
      <c r="Z209" s="143" t="e">
        <f t="shared" si="132"/>
        <v>#N/A</v>
      </c>
      <c r="AA209" s="116"/>
      <c r="AB209" s="114" t="str">
        <f t="shared" si="133"/>
        <v>0-20</v>
      </c>
      <c r="AC209" s="114">
        <f t="shared" si="134"/>
        <v>3844.3574443810608</v>
      </c>
      <c r="AD209" s="129"/>
      <c r="AE209" s="129" t="str">
        <f t="shared" si="111"/>
        <v>0-20</v>
      </c>
      <c r="AF209" s="129">
        <f t="shared" si="112"/>
        <v>3844.3574443810608</v>
      </c>
      <c r="AG209" s="138">
        <v>60</v>
      </c>
      <c r="AH209" s="138" t="str">
        <f t="shared" si="113"/>
        <v>51-80</v>
      </c>
      <c r="AI209" s="138">
        <f t="shared" si="114"/>
        <v>6509</v>
      </c>
      <c r="AJ209" s="36"/>
      <c r="AK209" s="36"/>
      <c r="AL209" s="37"/>
      <c r="AM209" s="79"/>
      <c r="AN209" s="79"/>
      <c r="AO209" s="79"/>
      <c r="AP209" s="133"/>
      <c r="AQ209" s="133" t="str">
        <f t="shared" si="135"/>
        <v>0-20</v>
      </c>
      <c r="AR209" s="133">
        <f t="shared" si="136"/>
        <v>3844.3574443810608</v>
      </c>
      <c r="AS209" s="131"/>
      <c r="AT209" s="131"/>
      <c r="AU209" s="4"/>
    </row>
    <row r="210" spans="1:47" s="14" customFormat="1" x14ac:dyDescent="0.25">
      <c r="A210" s="32">
        <v>201</v>
      </c>
      <c r="B210" s="13" t="s">
        <v>21</v>
      </c>
      <c r="C210" s="9" t="s">
        <v>695</v>
      </c>
      <c r="D210" s="10" t="s">
        <v>1037</v>
      </c>
      <c r="E210" s="9" t="s">
        <v>696</v>
      </c>
      <c r="F210" s="34" t="s">
        <v>697</v>
      </c>
      <c r="G210" s="73" t="s">
        <v>698</v>
      </c>
      <c r="H210" s="33">
        <v>401107</v>
      </c>
      <c r="I210" s="90">
        <v>125</v>
      </c>
      <c r="J210" s="91" t="str">
        <f t="shared" si="121"/>
        <v>110-130</v>
      </c>
      <c r="K210" s="91">
        <f t="shared" si="122"/>
        <v>10159.810450732197</v>
      </c>
      <c r="L210" s="35">
        <v>26</v>
      </c>
      <c r="M210" s="35" t="str">
        <f t="shared" si="123"/>
        <v>21-30</v>
      </c>
      <c r="N210" s="36">
        <f t="shared" si="137"/>
        <v>4508.6394748902885</v>
      </c>
      <c r="O210" s="51">
        <v>30</v>
      </c>
      <c r="P210" s="51" t="str">
        <f t="shared" si="128"/>
        <v>21-30</v>
      </c>
      <c r="Q210" s="51">
        <f t="shared" si="124"/>
        <v>4508.6394748902885</v>
      </c>
      <c r="R210" s="49">
        <v>23</v>
      </c>
      <c r="S210" s="49" t="str">
        <f t="shared" si="125"/>
        <v>21-30</v>
      </c>
      <c r="T210" s="49">
        <f t="shared" si="126"/>
        <v>4508.6394748902885</v>
      </c>
      <c r="U210" s="50">
        <v>33</v>
      </c>
      <c r="V210" s="50" t="str">
        <f t="shared" si="129"/>
        <v>31-50</v>
      </c>
      <c r="W210" s="50">
        <f t="shared" si="130"/>
        <v>5073.1976040297868</v>
      </c>
      <c r="X210" s="143" t="s">
        <v>1458</v>
      </c>
      <c r="Y210" s="143" t="e">
        <f t="shared" si="131"/>
        <v>#N/A</v>
      </c>
      <c r="Z210" s="143" t="e">
        <f t="shared" si="132"/>
        <v>#N/A</v>
      </c>
      <c r="AA210" s="116">
        <v>19</v>
      </c>
      <c r="AB210" s="114" t="str">
        <f t="shared" si="133"/>
        <v>0-20</v>
      </c>
      <c r="AC210" s="114">
        <f t="shared" si="134"/>
        <v>3844.3574443810608</v>
      </c>
      <c r="AD210" s="129"/>
      <c r="AE210" s="129" t="str">
        <f t="shared" si="111"/>
        <v>0-20</v>
      </c>
      <c r="AF210" s="129">
        <f t="shared" si="112"/>
        <v>3844.3574443810608</v>
      </c>
      <c r="AG210" s="138">
        <v>72</v>
      </c>
      <c r="AH210" s="138" t="str">
        <f t="shared" si="113"/>
        <v>51-80</v>
      </c>
      <c r="AI210" s="138">
        <f t="shared" si="114"/>
        <v>6509</v>
      </c>
      <c r="AJ210" s="36"/>
      <c r="AK210" s="36"/>
      <c r="AL210" s="37"/>
      <c r="AM210" s="79"/>
      <c r="AN210" s="79"/>
      <c r="AO210" s="79"/>
      <c r="AP210" s="133"/>
      <c r="AQ210" s="133" t="str">
        <f t="shared" si="135"/>
        <v>0-20</v>
      </c>
      <c r="AR210" s="133">
        <f t="shared" si="136"/>
        <v>3844.3574443810608</v>
      </c>
      <c r="AS210" s="131"/>
      <c r="AT210" s="131"/>
      <c r="AU210" s="4"/>
    </row>
    <row r="211" spans="1:47" s="14" customFormat="1" x14ac:dyDescent="0.25">
      <c r="A211" s="32">
        <v>202</v>
      </c>
      <c r="B211" s="13" t="s">
        <v>21</v>
      </c>
      <c r="C211" t="s">
        <v>701</v>
      </c>
      <c r="D211" s="10" t="s">
        <v>1038</v>
      </c>
      <c r="E211" t="s">
        <v>702</v>
      </c>
      <c r="F211" s="34" t="s">
        <v>703</v>
      </c>
      <c r="G211" s="73" t="s">
        <v>704</v>
      </c>
      <c r="H211" s="33">
        <v>401201</v>
      </c>
      <c r="I211" s="90">
        <v>136</v>
      </c>
      <c r="J211" s="90" t="str">
        <f t="shared" si="121"/>
        <v>110-130</v>
      </c>
      <c r="K211" s="91">
        <f t="shared" si="122"/>
        <v>10159.810450732197</v>
      </c>
      <c r="L211" s="35">
        <v>42</v>
      </c>
      <c r="M211" s="35" t="str">
        <f t="shared" si="123"/>
        <v>31-50</v>
      </c>
      <c r="N211" s="36">
        <f t="shared" si="137"/>
        <v>5073.1976040297868</v>
      </c>
      <c r="O211" s="51">
        <v>11</v>
      </c>
      <c r="P211" s="51" t="str">
        <f t="shared" si="128"/>
        <v>0-20</v>
      </c>
      <c r="Q211" s="51">
        <f t="shared" si="124"/>
        <v>3844.3574443810608</v>
      </c>
      <c r="R211" s="49">
        <v>46</v>
      </c>
      <c r="S211" s="49" t="str">
        <f t="shared" si="125"/>
        <v>31-50</v>
      </c>
      <c r="T211" s="49">
        <f t="shared" si="126"/>
        <v>5073.1976040297868</v>
      </c>
      <c r="U211" s="50">
        <v>60</v>
      </c>
      <c r="V211" s="50" t="str">
        <f t="shared" si="129"/>
        <v>51-80</v>
      </c>
      <c r="W211" s="50">
        <f t="shared" si="130"/>
        <v>6509</v>
      </c>
      <c r="X211" s="143" t="s">
        <v>1458</v>
      </c>
      <c r="Y211" s="143" t="e">
        <f t="shared" si="131"/>
        <v>#N/A</v>
      </c>
      <c r="Z211" s="143" t="e">
        <f t="shared" si="132"/>
        <v>#N/A</v>
      </c>
      <c r="AA211" s="116"/>
      <c r="AB211" s="114" t="str">
        <f t="shared" si="133"/>
        <v>0-20</v>
      </c>
      <c r="AC211" s="114">
        <f t="shared" si="134"/>
        <v>3844.3574443810608</v>
      </c>
      <c r="AD211" s="129"/>
      <c r="AE211" s="129" t="str">
        <f t="shared" si="111"/>
        <v>0-20</v>
      </c>
      <c r="AF211" s="129">
        <f t="shared" si="112"/>
        <v>3844.3574443810608</v>
      </c>
      <c r="AG211" s="138">
        <v>57</v>
      </c>
      <c r="AH211" s="138" t="str">
        <f t="shared" si="113"/>
        <v>51-80</v>
      </c>
      <c r="AI211" s="138">
        <f t="shared" si="114"/>
        <v>6509</v>
      </c>
      <c r="AJ211" s="36"/>
      <c r="AK211" s="36"/>
      <c r="AL211" s="37"/>
      <c r="AM211" s="79"/>
      <c r="AN211" s="79"/>
      <c r="AO211" s="79"/>
      <c r="AP211" s="133"/>
      <c r="AQ211" s="133" t="str">
        <f t="shared" si="135"/>
        <v>0-20</v>
      </c>
      <c r="AR211" s="133">
        <f t="shared" si="136"/>
        <v>3844.3574443810608</v>
      </c>
      <c r="AS211" s="131"/>
      <c r="AT211" s="131"/>
      <c r="AU211" s="4"/>
    </row>
    <row r="212" spans="1:47" s="14" customFormat="1" x14ac:dyDescent="0.25">
      <c r="A212" s="32">
        <v>203</v>
      </c>
      <c r="B212" s="13" t="s">
        <v>21</v>
      </c>
      <c r="C212" s="9" t="s">
        <v>705</v>
      </c>
      <c r="D212" s="10" t="s">
        <v>1039</v>
      </c>
      <c r="E212" s="9" t="s">
        <v>706</v>
      </c>
      <c r="F212" s="34" t="s">
        <v>707</v>
      </c>
      <c r="G212" s="73" t="s">
        <v>708</v>
      </c>
      <c r="H212" s="33">
        <v>400604</v>
      </c>
      <c r="I212" s="90">
        <v>100</v>
      </c>
      <c r="J212" s="90" t="str">
        <f t="shared" si="121"/>
        <v>81-110</v>
      </c>
      <c r="K212" s="91">
        <f t="shared" si="122"/>
        <v>8747.8561594387575</v>
      </c>
      <c r="L212" s="99">
        <v>2</v>
      </c>
      <c r="M212" s="99" t="str">
        <f t="shared" si="123"/>
        <v>0-20</v>
      </c>
      <c r="N212" s="100">
        <f t="shared" si="137"/>
        <v>3844.3574443810608</v>
      </c>
      <c r="O212" s="51">
        <v>58</v>
      </c>
      <c r="P212" s="51" t="str">
        <f t="shared" si="128"/>
        <v>51-80</v>
      </c>
      <c r="Q212" s="51">
        <f t="shared" si="124"/>
        <v>6509</v>
      </c>
      <c r="R212" s="49">
        <v>32</v>
      </c>
      <c r="S212" s="49" t="str">
        <f t="shared" si="125"/>
        <v>31-50</v>
      </c>
      <c r="T212" s="49">
        <f t="shared" si="126"/>
        <v>5073.1976040297868</v>
      </c>
      <c r="U212" s="50">
        <v>19</v>
      </c>
      <c r="V212" s="50" t="str">
        <f t="shared" si="129"/>
        <v>0-20</v>
      </c>
      <c r="W212" s="50">
        <f t="shared" si="130"/>
        <v>3844.3574443810608</v>
      </c>
      <c r="X212" s="143" t="s">
        <v>1458</v>
      </c>
      <c r="Y212" s="143" t="e">
        <f t="shared" si="131"/>
        <v>#N/A</v>
      </c>
      <c r="Z212" s="143" t="e">
        <f t="shared" si="132"/>
        <v>#N/A</v>
      </c>
      <c r="AA212" s="116"/>
      <c r="AB212" s="114" t="str">
        <f t="shared" si="133"/>
        <v>0-20</v>
      </c>
      <c r="AC212" s="114">
        <f t="shared" si="134"/>
        <v>3844.3574443810608</v>
      </c>
      <c r="AD212" s="129"/>
      <c r="AE212" s="129" t="str">
        <f t="shared" si="111"/>
        <v>0-20</v>
      </c>
      <c r="AF212" s="129">
        <f t="shared" si="112"/>
        <v>3844.3574443810608</v>
      </c>
      <c r="AG212" s="138">
        <v>88</v>
      </c>
      <c r="AH212" s="138" t="str">
        <f t="shared" si="113"/>
        <v>81-110</v>
      </c>
      <c r="AI212" s="138">
        <f t="shared" si="114"/>
        <v>8747.8561594387575</v>
      </c>
      <c r="AJ212" s="36"/>
      <c r="AK212" s="36"/>
      <c r="AL212" s="37"/>
      <c r="AM212" s="79"/>
      <c r="AN212" s="79"/>
      <c r="AO212" s="79"/>
      <c r="AP212" s="133"/>
      <c r="AQ212" s="133" t="str">
        <f t="shared" si="135"/>
        <v>0-20</v>
      </c>
      <c r="AR212" s="133">
        <f t="shared" si="136"/>
        <v>3844.3574443810608</v>
      </c>
      <c r="AS212" s="131"/>
      <c r="AT212" s="131"/>
      <c r="AU212" s="4"/>
    </row>
    <row r="213" spans="1:47" s="14" customFormat="1" x14ac:dyDescent="0.25">
      <c r="A213" s="32">
        <v>204</v>
      </c>
      <c r="B213" s="13" t="s">
        <v>21</v>
      </c>
      <c r="C213" s="9" t="s">
        <v>709</v>
      </c>
      <c r="D213" s="10" t="s">
        <v>1040</v>
      </c>
      <c r="E213" s="9" t="s">
        <v>710</v>
      </c>
      <c r="F213" s="34" t="s">
        <v>711</v>
      </c>
      <c r="G213" s="73" t="s">
        <v>558</v>
      </c>
      <c r="H213" s="33">
        <v>421302</v>
      </c>
      <c r="I213" s="90">
        <v>109</v>
      </c>
      <c r="J213" s="90" t="str">
        <f t="shared" si="121"/>
        <v>81-110</v>
      </c>
      <c r="K213" s="91">
        <f t="shared" si="122"/>
        <v>8747.8561594387575</v>
      </c>
      <c r="L213" s="99">
        <v>21</v>
      </c>
      <c r="M213" s="99" t="str">
        <f t="shared" si="123"/>
        <v>21-30</v>
      </c>
      <c r="N213" s="100">
        <f t="shared" si="137"/>
        <v>4508.6394748902885</v>
      </c>
      <c r="O213" s="51">
        <v>40</v>
      </c>
      <c r="P213" s="51" t="str">
        <f t="shared" si="128"/>
        <v>31-50</v>
      </c>
      <c r="Q213" s="51">
        <f t="shared" si="124"/>
        <v>5073.1976040297868</v>
      </c>
      <c r="R213" s="49">
        <v>40</v>
      </c>
      <c r="S213" s="49" t="str">
        <f t="shared" si="125"/>
        <v>31-50</v>
      </c>
      <c r="T213" s="49">
        <f t="shared" si="126"/>
        <v>5073.1976040297868</v>
      </c>
      <c r="U213" s="50">
        <v>38</v>
      </c>
      <c r="V213" s="50" t="str">
        <f t="shared" si="129"/>
        <v>31-50</v>
      </c>
      <c r="W213" s="50">
        <f t="shared" si="130"/>
        <v>5073.1976040297868</v>
      </c>
      <c r="X213" s="143">
        <v>15</v>
      </c>
      <c r="Y213" s="143" t="str">
        <f t="shared" si="131"/>
        <v>0-20</v>
      </c>
      <c r="Z213" s="143">
        <f t="shared" si="132"/>
        <v>3844.3574443810608</v>
      </c>
      <c r="AA213" s="116"/>
      <c r="AB213" s="114" t="str">
        <f t="shared" si="133"/>
        <v>0-20</v>
      </c>
      <c r="AC213" s="114">
        <f t="shared" si="134"/>
        <v>3844.3574443810608</v>
      </c>
      <c r="AD213" s="129"/>
      <c r="AE213" s="129" t="str">
        <f t="shared" ref="AE213:AE276" si="138">VLOOKUP(AD213,$AV$4:$AW$9,2,1)</f>
        <v>0-20</v>
      </c>
      <c r="AF213" s="129">
        <f t="shared" ref="AF213:AF276" si="139">VLOOKUP(AE213,$AW$3:$AX$9,2,0)</f>
        <v>3844.3574443810608</v>
      </c>
      <c r="AG213" s="138">
        <v>75</v>
      </c>
      <c r="AH213" s="138" t="str">
        <f t="shared" si="113"/>
        <v>51-80</v>
      </c>
      <c r="AI213" s="138">
        <f t="shared" si="114"/>
        <v>6509</v>
      </c>
      <c r="AJ213" s="36"/>
      <c r="AK213" s="36"/>
      <c r="AL213" s="37"/>
      <c r="AM213" s="79"/>
      <c r="AN213" s="79"/>
      <c r="AO213" s="79"/>
      <c r="AP213" s="133"/>
      <c r="AQ213" s="133" t="str">
        <f t="shared" si="135"/>
        <v>0-20</v>
      </c>
      <c r="AR213" s="133">
        <f t="shared" si="136"/>
        <v>3844.3574443810608</v>
      </c>
      <c r="AS213" s="131"/>
      <c r="AT213" s="131"/>
      <c r="AU213" s="4"/>
    </row>
    <row r="214" spans="1:47" s="14" customFormat="1" x14ac:dyDescent="0.25">
      <c r="A214" s="32">
        <v>205</v>
      </c>
      <c r="B214" s="13" t="s">
        <v>21</v>
      </c>
      <c r="C214" s="9" t="s">
        <v>713</v>
      </c>
      <c r="D214" s="10" t="s">
        <v>1041</v>
      </c>
      <c r="E214" s="9" t="s">
        <v>714</v>
      </c>
      <c r="F214" s="34" t="s">
        <v>715</v>
      </c>
      <c r="G214" s="73" t="s">
        <v>716</v>
      </c>
      <c r="H214" s="33">
        <v>421204</v>
      </c>
      <c r="I214" s="90">
        <v>89</v>
      </c>
      <c r="J214" s="90" t="str">
        <f t="shared" si="121"/>
        <v>81-110</v>
      </c>
      <c r="K214" s="91">
        <f t="shared" si="122"/>
        <v>8747.8561594387575</v>
      </c>
      <c r="L214" s="35">
        <v>28</v>
      </c>
      <c r="M214" s="35" t="str">
        <f t="shared" si="123"/>
        <v>21-30</v>
      </c>
      <c r="N214" s="36">
        <f t="shared" si="137"/>
        <v>4508.6394748902885</v>
      </c>
      <c r="O214" s="51">
        <v>63</v>
      </c>
      <c r="P214" s="51" t="str">
        <f t="shared" si="128"/>
        <v>51-80</v>
      </c>
      <c r="Q214" s="51">
        <f t="shared" si="124"/>
        <v>6509</v>
      </c>
      <c r="R214" s="49">
        <v>39</v>
      </c>
      <c r="S214" s="49" t="str">
        <f t="shared" si="125"/>
        <v>31-50</v>
      </c>
      <c r="T214" s="49">
        <f t="shared" si="126"/>
        <v>5073.1976040297868</v>
      </c>
      <c r="U214" s="50">
        <v>38</v>
      </c>
      <c r="V214" s="50" t="str">
        <f t="shared" si="129"/>
        <v>31-50</v>
      </c>
      <c r="W214" s="50">
        <f t="shared" si="130"/>
        <v>5073.1976040297868</v>
      </c>
      <c r="X214" s="143" t="s">
        <v>1458</v>
      </c>
      <c r="Y214" s="143" t="e">
        <f t="shared" si="131"/>
        <v>#N/A</v>
      </c>
      <c r="Z214" s="143" t="e">
        <f t="shared" si="132"/>
        <v>#N/A</v>
      </c>
      <c r="AA214" s="116"/>
      <c r="AB214" s="114" t="str">
        <f t="shared" si="133"/>
        <v>0-20</v>
      </c>
      <c r="AC214" s="114">
        <f t="shared" si="134"/>
        <v>3844.3574443810608</v>
      </c>
      <c r="AD214" s="129"/>
      <c r="AE214" s="129" t="str">
        <f t="shared" si="138"/>
        <v>0-20</v>
      </c>
      <c r="AF214" s="129">
        <f t="shared" si="139"/>
        <v>3844.3574443810608</v>
      </c>
      <c r="AG214" s="138">
        <v>80</v>
      </c>
      <c r="AH214" s="138" t="str">
        <f t="shared" si="113"/>
        <v>51-80</v>
      </c>
      <c r="AI214" s="138">
        <f t="shared" si="114"/>
        <v>6509</v>
      </c>
      <c r="AJ214" s="36"/>
      <c r="AK214" s="36"/>
      <c r="AL214" s="37"/>
      <c r="AM214" s="79"/>
      <c r="AN214" s="79"/>
      <c r="AO214" s="79"/>
      <c r="AP214" s="133"/>
      <c r="AQ214" s="133" t="str">
        <f t="shared" si="135"/>
        <v>0-20</v>
      </c>
      <c r="AR214" s="133">
        <f t="shared" si="136"/>
        <v>3844.3574443810608</v>
      </c>
      <c r="AS214" s="131"/>
      <c r="AT214" s="131"/>
      <c r="AU214" s="4"/>
    </row>
    <row r="215" spans="1:47" s="14" customFormat="1" x14ac:dyDescent="0.25">
      <c r="A215" s="32">
        <v>206</v>
      </c>
      <c r="B215" s="13" t="s">
        <v>21</v>
      </c>
      <c r="C215" s="9" t="s">
        <v>717</v>
      </c>
      <c r="D215" s="10" t="s">
        <v>1042</v>
      </c>
      <c r="E215" s="9" t="s">
        <v>718</v>
      </c>
      <c r="F215" s="34" t="s">
        <v>719</v>
      </c>
      <c r="G215" s="73" t="s">
        <v>720</v>
      </c>
      <c r="H215" s="33">
        <v>401209</v>
      </c>
      <c r="I215" s="90">
        <v>142</v>
      </c>
      <c r="J215" s="90" t="str">
        <f t="shared" si="121"/>
        <v>110-130</v>
      </c>
      <c r="K215" s="91">
        <f t="shared" si="122"/>
        <v>10159.810450732197</v>
      </c>
      <c r="L215" s="35">
        <v>44</v>
      </c>
      <c r="M215" s="35" t="str">
        <f t="shared" si="123"/>
        <v>31-50</v>
      </c>
      <c r="N215" s="36">
        <f t="shared" si="137"/>
        <v>5073.1976040297868</v>
      </c>
      <c r="O215" s="51">
        <v>14</v>
      </c>
      <c r="P215" s="51" t="str">
        <f t="shared" si="128"/>
        <v>0-20</v>
      </c>
      <c r="Q215" s="51">
        <f t="shared" si="124"/>
        <v>3844.3574443810608</v>
      </c>
      <c r="R215" s="49">
        <v>46</v>
      </c>
      <c r="S215" s="49" t="str">
        <f t="shared" si="125"/>
        <v>31-50</v>
      </c>
      <c r="T215" s="49">
        <f t="shared" si="126"/>
        <v>5073.1976040297868</v>
      </c>
      <c r="U215" s="50">
        <v>59</v>
      </c>
      <c r="V215" s="50" t="str">
        <f t="shared" si="129"/>
        <v>51-80</v>
      </c>
      <c r="W215" s="50">
        <f t="shared" si="130"/>
        <v>6509</v>
      </c>
      <c r="X215" s="143" t="s">
        <v>1458</v>
      </c>
      <c r="Y215" s="143" t="e">
        <f t="shared" si="131"/>
        <v>#N/A</v>
      </c>
      <c r="Z215" s="143" t="e">
        <f t="shared" si="132"/>
        <v>#N/A</v>
      </c>
      <c r="AA215" s="116"/>
      <c r="AB215" s="114" t="str">
        <f t="shared" si="133"/>
        <v>0-20</v>
      </c>
      <c r="AC215" s="114">
        <f t="shared" si="134"/>
        <v>3844.3574443810608</v>
      </c>
      <c r="AD215" s="129"/>
      <c r="AE215" s="129" t="str">
        <f t="shared" si="138"/>
        <v>0-20</v>
      </c>
      <c r="AF215" s="129">
        <f t="shared" si="139"/>
        <v>3844.3574443810608</v>
      </c>
      <c r="AG215" s="139">
        <v>54</v>
      </c>
      <c r="AH215" s="138" t="str">
        <f t="shared" si="113"/>
        <v>51-80</v>
      </c>
      <c r="AI215" s="138">
        <f t="shared" si="114"/>
        <v>6509</v>
      </c>
      <c r="AJ215" s="36"/>
      <c r="AK215" s="36"/>
      <c r="AL215" s="37"/>
      <c r="AM215" s="79"/>
      <c r="AN215" s="79"/>
      <c r="AO215" s="79"/>
      <c r="AP215" s="133"/>
      <c r="AQ215" s="133" t="str">
        <f t="shared" si="135"/>
        <v>0-20</v>
      </c>
      <c r="AR215" s="133">
        <f t="shared" si="136"/>
        <v>3844.3574443810608</v>
      </c>
      <c r="AS215" s="131"/>
      <c r="AT215" s="131"/>
      <c r="AU215" s="4"/>
    </row>
    <row r="216" spans="1:47" s="14" customFormat="1" x14ac:dyDescent="0.25">
      <c r="A216" s="32">
        <v>207</v>
      </c>
      <c r="B216" s="13" t="s">
        <v>21</v>
      </c>
      <c r="C216" s="9" t="s">
        <v>721</v>
      </c>
      <c r="D216" s="10" t="s">
        <v>1043</v>
      </c>
      <c r="E216" s="9" t="s">
        <v>722</v>
      </c>
      <c r="F216" s="34" t="s">
        <v>723</v>
      </c>
      <c r="G216" s="73" t="s">
        <v>666</v>
      </c>
      <c r="H216" s="33">
        <v>400701</v>
      </c>
      <c r="I216" s="90">
        <v>88</v>
      </c>
      <c r="J216" s="91" t="str">
        <f t="shared" si="121"/>
        <v>81-110</v>
      </c>
      <c r="K216" s="91">
        <f t="shared" si="122"/>
        <v>8747.8561594387575</v>
      </c>
      <c r="L216" s="99">
        <v>18</v>
      </c>
      <c r="M216" s="99" t="str">
        <f t="shared" si="123"/>
        <v>0-20</v>
      </c>
      <c r="N216" s="100">
        <f t="shared" si="137"/>
        <v>3844.3574443810608</v>
      </c>
      <c r="O216" s="51">
        <v>53</v>
      </c>
      <c r="P216" s="51" t="str">
        <f t="shared" si="128"/>
        <v>51-80</v>
      </c>
      <c r="Q216" s="51">
        <f t="shared" si="124"/>
        <v>6509</v>
      </c>
      <c r="R216" s="49">
        <v>24</v>
      </c>
      <c r="S216" s="49" t="str">
        <f t="shared" si="125"/>
        <v>21-30</v>
      </c>
      <c r="T216" s="49">
        <f t="shared" si="126"/>
        <v>4508.6394748902885</v>
      </c>
      <c r="U216" s="50">
        <v>21</v>
      </c>
      <c r="V216" s="50" t="str">
        <f t="shared" si="129"/>
        <v>21-30</v>
      </c>
      <c r="W216" s="50">
        <f t="shared" si="130"/>
        <v>4508.6394748902885</v>
      </c>
      <c r="X216" s="143" t="s">
        <v>1458</v>
      </c>
      <c r="Y216" s="143" t="e">
        <f t="shared" si="131"/>
        <v>#N/A</v>
      </c>
      <c r="Z216" s="143" t="e">
        <f t="shared" si="132"/>
        <v>#N/A</v>
      </c>
      <c r="AA216" s="116"/>
      <c r="AB216" s="114" t="str">
        <f t="shared" si="133"/>
        <v>0-20</v>
      </c>
      <c r="AC216" s="114">
        <f t="shared" si="134"/>
        <v>3844.3574443810608</v>
      </c>
      <c r="AD216" s="129"/>
      <c r="AE216" s="129" t="str">
        <f t="shared" si="138"/>
        <v>0-20</v>
      </c>
      <c r="AF216" s="129">
        <f t="shared" si="139"/>
        <v>3844.3574443810608</v>
      </c>
      <c r="AG216" s="138">
        <v>96</v>
      </c>
      <c r="AH216" s="138" t="str">
        <f t="shared" si="113"/>
        <v>81-110</v>
      </c>
      <c r="AI216" s="138">
        <f t="shared" si="114"/>
        <v>8747.8561594387575</v>
      </c>
      <c r="AJ216" s="36"/>
      <c r="AK216" s="36"/>
      <c r="AL216" s="37"/>
      <c r="AM216" s="79">
        <v>55</v>
      </c>
      <c r="AN216" s="86" t="str">
        <f>VLOOKUP(AM216,$AV$3:$AW$9,2,1)</f>
        <v>51-80</v>
      </c>
      <c r="AO216" s="128">
        <f>VLOOKUP(AN216,$AW$3:$AX$9,2,0)</f>
        <v>6509</v>
      </c>
      <c r="AP216" s="133"/>
      <c r="AQ216" s="133" t="str">
        <f t="shared" si="135"/>
        <v>0-20</v>
      </c>
      <c r="AR216" s="133">
        <f t="shared" si="136"/>
        <v>3844.3574443810608</v>
      </c>
      <c r="AS216" s="131"/>
      <c r="AT216" s="131"/>
      <c r="AU216" s="4"/>
    </row>
    <row r="217" spans="1:47" s="14" customFormat="1" x14ac:dyDescent="0.25">
      <c r="A217" s="32">
        <v>208</v>
      </c>
      <c r="B217" s="13" t="s">
        <v>21</v>
      </c>
      <c r="C217" s="9" t="s">
        <v>728</v>
      </c>
      <c r="D217" s="10" t="s">
        <v>1044</v>
      </c>
      <c r="E217" s="9" t="s">
        <v>729</v>
      </c>
      <c r="F217" s="34" t="s">
        <v>730</v>
      </c>
      <c r="G217" s="73" t="s">
        <v>2</v>
      </c>
      <c r="H217" s="33">
        <v>421302</v>
      </c>
      <c r="I217" s="90">
        <v>106</v>
      </c>
      <c r="J217" s="90" t="str">
        <f t="shared" si="121"/>
        <v>81-110</v>
      </c>
      <c r="K217" s="91">
        <f t="shared" si="122"/>
        <v>8747.8561594387575</v>
      </c>
      <c r="L217" s="35">
        <v>22</v>
      </c>
      <c r="M217" s="35" t="str">
        <f t="shared" si="123"/>
        <v>21-30</v>
      </c>
      <c r="N217" s="36">
        <f t="shared" si="137"/>
        <v>4508.6394748902885</v>
      </c>
      <c r="O217" s="51">
        <v>36</v>
      </c>
      <c r="P217" s="51" t="str">
        <f t="shared" si="128"/>
        <v>31-50</v>
      </c>
      <c r="Q217" s="51">
        <f t="shared" si="124"/>
        <v>5073.1976040297868</v>
      </c>
      <c r="R217" s="49">
        <v>44</v>
      </c>
      <c r="S217" s="49" t="str">
        <f t="shared" si="125"/>
        <v>31-50</v>
      </c>
      <c r="T217" s="49">
        <f t="shared" si="126"/>
        <v>5073.1976040297868</v>
      </c>
      <c r="U217" s="50">
        <v>42</v>
      </c>
      <c r="V217" s="50" t="str">
        <f t="shared" si="129"/>
        <v>31-50</v>
      </c>
      <c r="W217" s="50">
        <f t="shared" si="130"/>
        <v>5073.1976040297868</v>
      </c>
      <c r="X217" s="143" t="s">
        <v>1458</v>
      </c>
      <c r="Y217" s="143" t="e">
        <f t="shared" si="131"/>
        <v>#N/A</v>
      </c>
      <c r="Z217" s="143" t="e">
        <f t="shared" si="132"/>
        <v>#N/A</v>
      </c>
      <c r="AA217" s="116"/>
      <c r="AB217" s="114" t="str">
        <f t="shared" si="133"/>
        <v>0-20</v>
      </c>
      <c r="AC217" s="114">
        <f t="shared" si="134"/>
        <v>3844.3574443810608</v>
      </c>
      <c r="AD217" s="129"/>
      <c r="AE217" s="129" t="str">
        <f t="shared" si="138"/>
        <v>0-20</v>
      </c>
      <c r="AF217" s="129">
        <f t="shared" si="139"/>
        <v>3844.3574443810608</v>
      </c>
      <c r="AG217" s="138">
        <v>75</v>
      </c>
      <c r="AH217" s="138" t="str">
        <f t="shared" si="113"/>
        <v>51-80</v>
      </c>
      <c r="AI217" s="138">
        <f t="shared" si="114"/>
        <v>6509</v>
      </c>
      <c r="AJ217" s="36"/>
      <c r="AK217" s="36"/>
      <c r="AL217" s="37"/>
      <c r="AM217" s="79">
        <v>73</v>
      </c>
      <c r="AN217" s="86" t="str">
        <f>VLOOKUP(AM217,$AV$3:$AW$9,2,1)</f>
        <v>51-80</v>
      </c>
      <c r="AO217" s="128">
        <f>VLOOKUP(AN217,$AW$3:$AX$9,2,0)</f>
        <v>6509</v>
      </c>
      <c r="AP217" s="133"/>
      <c r="AQ217" s="133" t="str">
        <f t="shared" si="135"/>
        <v>0-20</v>
      </c>
      <c r="AR217" s="133">
        <f t="shared" si="136"/>
        <v>3844.3574443810608</v>
      </c>
      <c r="AS217" s="131"/>
      <c r="AT217" s="131"/>
      <c r="AU217" s="4"/>
    </row>
    <row r="218" spans="1:47" s="14" customFormat="1" x14ac:dyDescent="0.25">
      <c r="A218" s="32">
        <v>209</v>
      </c>
      <c r="B218" s="13" t="s">
        <v>21</v>
      </c>
      <c r="C218" s="9" t="s">
        <v>734</v>
      </c>
      <c r="D218" s="10" t="s">
        <v>1045</v>
      </c>
      <c r="E218" s="9" t="s">
        <v>735</v>
      </c>
      <c r="F218" s="34" t="s">
        <v>736</v>
      </c>
      <c r="G218" s="73" t="s">
        <v>737</v>
      </c>
      <c r="H218" s="33">
        <v>401606</v>
      </c>
      <c r="I218" s="90">
        <v>217</v>
      </c>
      <c r="J218" s="90" t="str">
        <f t="shared" si="121"/>
        <v>110-130</v>
      </c>
      <c r="K218" s="91">
        <f t="shared" si="122"/>
        <v>10159.810450732197</v>
      </c>
      <c r="L218" s="35">
        <v>125</v>
      </c>
      <c r="M218" s="35" t="str">
        <f t="shared" si="123"/>
        <v>110-130</v>
      </c>
      <c r="N218" s="36">
        <f t="shared" si="137"/>
        <v>10159.810450732197</v>
      </c>
      <c r="O218" s="51">
        <v>83</v>
      </c>
      <c r="P218" s="51" t="str">
        <f t="shared" si="128"/>
        <v>81-110</v>
      </c>
      <c r="Q218" s="51">
        <f t="shared" si="124"/>
        <v>8747.8561594387575</v>
      </c>
      <c r="R218" s="49">
        <v>125</v>
      </c>
      <c r="S218" s="49" t="str">
        <f t="shared" si="125"/>
        <v>110-130</v>
      </c>
      <c r="T218" s="49">
        <f t="shared" si="126"/>
        <v>10159.810450732197</v>
      </c>
      <c r="U218" s="50">
        <v>136</v>
      </c>
      <c r="V218" s="50" t="str">
        <f t="shared" si="129"/>
        <v>110-130</v>
      </c>
      <c r="W218" s="50">
        <f t="shared" si="130"/>
        <v>10159.810450732197</v>
      </c>
      <c r="X218" s="143" t="s">
        <v>1458</v>
      </c>
      <c r="Y218" s="143" t="e">
        <f t="shared" si="131"/>
        <v>#N/A</v>
      </c>
      <c r="Z218" s="143" t="e">
        <f t="shared" si="132"/>
        <v>#N/A</v>
      </c>
      <c r="AA218" s="116"/>
      <c r="AB218" s="114" t="str">
        <f t="shared" si="133"/>
        <v>0-20</v>
      </c>
      <c r="AC218" s="114">
        <f t="shared" si="134"/>
        <v>3844.3574443810608</v>
      </c>
      <c r="AD218" s="129"/>
      <c r="AE218" s="129" t="str">
        <f t="shared" si="138"/>
        <v>0-20</v>
      </c>
      <c r="AF218" s="129">
        <f t="shared" si="139"/>
        <v>3844.3574443810608</v>
      </c>
      <c r="AG218" s="138">
        <v>65</v>
      </c>
      <c r="AH218" s="138" t="str">
        <f t="shared" si="113"/>
        <v>51-80</v>
      </c>
      <c r="AI218" s="138">
        <f t="shared" si="114"/>
        <v>6509</v>
      </c>
      <c r="AJ218" s="36"/>
      <c r="AK218" s="36"/>
      <c r="AL218" s="37"/>
      <c r="AM218" s="79"/>
      <c r="AN218" s="79"/>
      <c r="AO218" s="79"/>
      <c r="AP218" s="133"/>
      <c r="AQ218" s="133" t="str">
        <f t="shared" si="135"/>
        <v>0-20</v>
      </c>
      <c r="AR218" s="133">
        <f t="shared" si="136"/>
        <v>3844.3574443810608</v>
      </c>
      <c r="AS218" s="131"/>
      <c r="AT218" s="131"/>
      <c r="AU218" s="4"/>
    </row>
    <row r="219" spans="1:47" s="14" customFormat="1" x14ac:dyDescent="0.25">
      <c r="A219" s="32">
        <v>210</v>
      </c>
      <c r="B219" s="13" t="s">
        <v>21</v>
      </c>
      <c r="C219" t="s">
        <v>591</v>
      </c>
      <c r="D219" s="10" t="s">
        <v>1046</v>
      </c>
      <c r="E219" s="9" t="s">
        <v>738</v>
      </c>
      <c r="F219" s="34" t="s">
        <v>739</v>
      </c>
      <c r="G219" s="73" t="s">
        <v>183</v>
      </c>
      <c r="H219" s="33">
        <v>400701</v>
      </c>
      <c r="I219" s="90">
        <v>41</v>
      </c>
      <c r="J219" s="91" t="str">
        <f t="shared" si="121"/>
        <v>31-50</v>
      </c>
      <c r="K219" s="91">
        <f t="shared" si="122"/>
        <v>5073.1976040297868</v>
      </c>
      <c r="L219" s="35">
        <v>76</v>
      </c>
      <c r="M219" s="35" t="str">
        <f t="shared" si="123"/>
        <v>51-80</v>
      </c>
      <c r="N219" s="36">
        <f t="shared" si="137"/>
        <v>6509</v>
      </c>
      <c r="O219" s="51">
        <v>114</v>
      </c>
      <c r="P219" s="51" t="str">
        <f t="shared" si="128"/>
        <v>110-130</v>
      </c>
      <c r="Q219" s="51">
        <f t="shared" si="124"/>
        <v>10159.810450732197</v>
      </c>
      <c r="R219" s="49">
        <v>81</v>
      </c>
      <c r="S219" s="49" t="str">
        <f t="shared" si="125"/>
        <v>81-110</v>
      </c>
      <c r="T219" s="49">
        <f t="shared" si="126"/>
        <v>8747.8561594387575</v>
      </c>
      <c r="U219" s="50">
        <v>72</v>
      </c>
      <c r="V219" s="50" t="str">
        <f t="shared" si="129"/>
        <v>51-80</v>
      </c>
      <c r="W219" s="50">
        <f t="shared" si="130"/>
        <v>6509</v>
      </c>
      <c r="X219" s="143" t="s">
        <v>1458</v>
      </c>
      <c r="Y219" s="143" t="e">
        <f t="shared" si="131"/>
        <v>#N/A</v>
      </c>
      <c r="Z219" s="143" t="e">
        <f t="shared" si="132"/>
        <v>#N/A</v>
      </c>
      <c r="AA219" s="116"/>
      <c r="AB219" s="114" t="str">
        <f t="shared" si="133"/>
        <v>0-20</v>
      </c>
      <c r="AC219" s="114">
        <f t="shared" si="134"/>
        <v>3844.3574443810608</v>
      </c>
      <c r="AD219" s="129"/>
      <c r="AE219" s="129" t="str">
        <f t="shared" si="138"/>
        <v>0-20</v>
      </c>
      <c r="AF219" s="129">
        <f t="shared" si="139"/>
        <v>3844.3574443810608</v>
      </c>
      <c r="AG219" s="138">
        <v>96</v>
      </c>
      <c r="AH219" s="138" t="str">
        <f t="shared" si="113"/>
        <v>81-110</v>
      </c>
      <c r="AI219" s="138">
        <f t="shared" si="114"/>
        <v>8747.8561594387575</v>
      </c>
      <c r="AJ219" s="36"/>
      <c r="AK219" s="36"/>
      <c r="AL219" s="37"/>
      <c r="AM219" s="79"/>
      <c r="AN219" s="79"/>
      <c r="AO219" s="79"/>
      <c r="AP219" s="133"/>
      <c r="AQ219" s="133" t="str">
        <f t="shared" si="135"/>
        <v>0-20</v>
      </c>
      <c r="AR219" s="133">
        <f t="shared" si="136"/>
        <v>3844.3574443810608</v>
      </c>
      <c r="AS219" s="131"/>
      <c r="AT219" s="131"/>
      <c r="AU219" s="4"/>
    </row>
    <row r="220" spans="1:47" s="14" customFormat="1" x14ac:dyDescent="0.25">
      <c r="A220" s="32">
        <v>211</v>
      </c>
      <c r="B220" s="13" t="s">
        <v>21</v>
      </c>
      <c r="C220" s="9" t="s">
        <v>740</v>
      </c>
      <c r="D220" s="10" t="s">
        <v>1047</v>
      </c>
      <c r="E220" s="9" t="s">
        <v>741</v>
      </c>
      <c r="F220" s="34" t="s">
        <v>742</v>
      </c>
      <c r="G220" s="73" t="s">
        <v>743</v>
      </c>
      <c r="H220" s="33">
        <v>402209</v>
      </c>
      <c r="I220" s="90">
        <v>95</v>
      </c>
      <c r="J220" s="91" t="str">
        <f t="shared" si="121"/>
        <v>81-110</v>
      </c>
      <c r="K220" s="91">
        <f t="shared" si="122"/>
        <v>8747.8561594387575</v>
      </c>
      <c r="L220" s="35">
        <v>97</v>
      </c>
      <c r="M220" s="35" t="str">
        <f t="shared" si="123"/>
        <v>81-110</v>
      </c>
      <c r="N220" s="36">
        <f t="shared" si="137"/>
        <v>8747.8561594387575</v>
      </c>
      <c r="O220" s="51">
        <v>133</v>
      </c>
      <c r="P220" s="51" t="str">
        <f t="shared" si="128"/>
        <v>110-130</v>
      </c>
      <c r="Q220" s="51">
        <f t="shared" si="124"/>
        <v>10159.810450732197</v>
      </c>
      <c r="R220" s="49">
        <v>105</v>
      </c>
      <c r="S220" s="49" t="str">
        <f t="shared" si="125"/>
        <v>81-110</v>
      </c>
      <c r="T220" s="49">
        <f t="shared" si="126"/>
        <v>8747.8561594387575</v>
      </c>
      <c r="U220" s="50">
        <v>96</v>
      </c>
      <c r="V220" s="50" t="str">
        <f t="shared" si="129"/>
        <v>81-110</v>
      </c>
      <c r="W220" s="50">
        <f t="shared" si="130"/>
        <v>8747.8561594387575</v>
      </c>
      <c r="X220" s="143" t="s">
        <v>1458</v>
      </c>
      <c r="Y220" s="143" t="e">
        <f t="shared" si="131"/>
        <v>#N/A</v>
      </c>
      <c r="Z220" s="143" t="e">
        <f t="shared" si="132"/>
        <v>#N/A</v>
      </c>
      <c r="AA220" s="116"/>
      <c r="AB220" s="114" t="str">
        <f t="shared" si="133"/>
        <v>0-20</v>
      </c>
      <c r="AC220" s="114">
        <f t="shared" si="134"/>
        <v>3844.3574443810608</v>
      </c>
      <c r="AD220" s="129"/>
      <c r="AE220" s="129" t="str">
        <f t="shared" si="138"/>
        <v>0-20</v>
      </c>
      <c r="AF220" s="129">
        <f t="shared" si="139"/>
        <v>3844.3574443810608</v>
      </c>
      <c r="AG220" s="138">
        <v>185</v>
      </c>
      <c r="AH220" s="138" t="str">
        <f t="shared" si="113"/>
        <v>110-130</v>
      </c>
      <c r="AI220" s="138">
        <f t="shared" si="114"/>
        <v>10159.810450732197</v>
      </c>
      <c r="AJ220" s="36"/>
      <c r="AK220" s="36"/>
      <c r="AL220" s="37"/>
      <c r="AM220" s="79">
        <v>55</v>
      </c>
      <c r="AN220" s="86" t="str">
        <f>VLOOKUP(AM220,$AV$3:$AW$9,2,1)</f>
        <v>51-80</v>
      </c>
      <c r="AO220" s="128">
        <f>VLOOKUP(AN220,$AW$3:$AX$9,2,0)</f>
        <v>6509</v>
      </c>
      <c r="AP220" s="133"/>
      <c r="AQ220" s="133" t="str">
        <f t="shared" si="135"/>
        <v>0-20</v>
      </c>
      <c r="AR220" s="133">
        <f t="shared" si="136"/>
        <v>3844.3574443810608</v>
      </c>
      <c r="AS220" s="131"/>
      <c r="AT220" s="131"/>
      <c r="AU220" s="4"/>
    </row>
    <row r="221" spans="1:47" s="14" customFormat="1" x14ac:dyDescent="0.25">
      <c r="A221" s="32">
        <v>212</v>
      </c>
      <c r="B221" s="13" t="s">
        <v>21</v>
      </c>
      <c r="C221" s="9" t="s">
        <v>136</v>
      </c>
      <c r="D221" s="10" t="s">
        <v>927</v>
      </c>
      <c r="E221" s="9" t="s">
        <v>137</v>
      </c>
      <c r="F221" s="34" t="s">
        <v>138</v>
      </c>
      <c r="G221" s="73" t="s">
        <v>744</v>
      </c>
      <c r="H221" s="33">
        <v>421401</v>
      </c>
      <c r="I221" s="90">
        <v>119</v>
      </c>
      <c r="J221" s="91" t="str">
        <f t="shared" si="121"/>
        <v>110-130</v>
      </c>
      <c r="K221" s="91">
        <f t="shared" si="122"/>
        <v>10159.810450732197</v>
      </c>
      <c r="L221" s="35">
        <v>66</v>
      </c>
      <c r="M221" s="35" t="str">
        <f t="shared" si="123"/>
        <v>51-80</v>
      </c>
      <c r="N221" s="36">
        <f t="shared" si="137"/>
        <v>6509</v>
      </c>
      <c r="O221" s="51">
        <v>93</v>
      </c>
      <c r="P221" s="51" t="str">
        <f t="shared" si="128"/>
        <v>81-110</v>
      </c>
      <c r="Q221" s="51">
        <f t="shared" si="124"/>
        <v>8747.8561594387575</v>
      </c>
      <c r="R221" s="49">
        <v>88</v>
      </c>
      <c r="S221" s="49" t="str">
        <f t="shared" si="125"/>
        <v>81-110</v>
      </c>
      <c r="T221" s="49">
        <f t="shared" si="126"/>
        <v>8747.8561594387575</v>
      </c>
      <c r="U221" s="50">
        <v>85</v>
      </c>
      <c r="V221" s="50" t="str">
        <f t="shared" si="129"/>
        <v>81-110</v>
      </c>
      <c r="W221" s="50">
        <f t="shared" si="130"/>
        <v>8747.8561594387575</v>
      </c>
      <c r="X221" s="143" t="s">
        <v>1458</v>
      </c>
      <c r="Y221" s="143" t="e">
        <f t="shared" si="131"/>
        <v>#N/A</v>
      </c>
      <c r="Z221" s="143" t="e">
        <f t="shared" si="132"/>
        <v>#N/A</v>
      </c>
      <c r="AA221" s="116"/>
      <c r="AB221" s="114" t="str">
        <f t="shared" si="133"/>
        <v>0-20</v>
      </c>
      <c r="AC221" s="114">
        <f t="shared" si="134"/>
        <v>3844.3574443810608</v>
      </c>
      <c r="AD221" s="129"/>
      <c r="AE221" s="129" t="str">
        <f t="shared" si="138"/>
        <v>0-20</v>
      </c>
      <c r="AF221" s="129">
        <f t="shared" si="139"/>
        <v>3844.3574443810608</v>
      </c>
      <c r="AG221" s="138">
        <v>87</v>
      </c>
      <c r="AH221" s="138" t="str">
        <f t="shared" si="113"/>
        <v>81-110</v>
      </c>
      <c r="AI221" s="138">
        <f t="shared" si="114"/>
        <v>8747.8561594387575</v>
      </c>
      <c r="AJ221" s="36"/>
      <c r="AK221" s="36"/>
      <c r="AL221" s="37"/>
      <c r="AM221" s="79">
        <v>87</v>
      </c>
      <c r="AN221" s="86" t="str">
        <f>VLOOKUP(AM221,$AV$3:$AW$9,2,1)</f>
        <v>81-110</v>
      </c>
      <c r="AO221" s="128">
        <f>VLOOKUP(AN221,$AW$3:$AX$9,2,0)</f>
        <v>8747.8561594387575</v>
      </c>
      <c r="AP221" s="133"/>
      <c r="AQ221" s="133" t="str">
        <f t="shared" si="135"/>
        <v>0-20</v>
      </c>
      <c r="AR221" s="133">
        <f t="shared" si="136"/>
        <v>3844.3574443810608</v>
      </c>
      <c r="AS221" s="131"/>
      <c r="AT221" s="131"/>
      <c r="AU221" s="4"/>
    </row>
    <row r="222" spans="1:47" s="14" customFormat="1" x14ac:dyDescent="0.25">
      <c r="A222" s="32">
        <v>213</v>
      </c>
      <c r="B222" s="13" t="s">
        <v>21</v>
      </c>
      <c r="C222" t="s">
        <v>748</v>
      </c>
      <c r="D222" s="10" t="s">
        <v>1048</v>
      </c>
      <c r="E222" t="s">
        <v>749</v>
      </c>
      <c r="F222" s="34" t="s">
        <v>750</v>
      </c>
      <c r="G222" s="73" t="s">
        <v>578</v>
      </c>
      <c r="H222" s="33">
        <v>400702</v>
      </c>
      <c r="I222" s="90">
        <v>64</v>
      </c>
      <c r="J222" s="91" t="str">
        <f t="shared" si="121"/>
        <v>51-80</v>
      </c>
      <c r="K222" s="91">
        <f t="shared" si="122"/>
        <v>6509</v>
      </c>
      <c r="L222" s="35">
        <v>53</v>
      </c>
      <c r="M222" s="35" t="str">
        <f t="shared" si="123"/>
        <v>51-80</v>
      </c>
      <c r="N222" s="36">
        <f t="shared" si="137"/>
        <v>6509</v>
      </c>
      <c r="O222" s="51">
        <v>88</v>
      </c>
      <c r="P222" s="51" t="str">
        <f t="shared" si="128"/>
        <v>81-110</v>
      </c>
      <c r="Q222" s="51">
        <f t="shared" si="124"/>
        <v>8747.8561594387575</v>
      </c>
      <c r="R222" s="49">
        <v>57</v>
      </c>
      <c r="S222" s="49" t="str">
        <f t="shared" si="125"/>
        <v>51-80</v>
      </c>
      <c r="T222" s="49">
        <f t="shared" si="126"/>
        <v>6509</v>
      </c>
      <c r="U222" s="50">
        <v>48</v>
      </c>
      <c r="V222" s="50" t="str">
        <f t="shared" si="129"/>
        <v>31-50</v>
      </c>
      <c r="W222" s="50">
        <f t="shared" si="130"/>
        <v>5073.1976040297868</v>
      </c>
      <c r="X222" s="143" t="s">
        <v>1458</v>
      </c>
      <c r="Y222" s="143" t="e">
        <f t="shared" si="131"/>
        <v>#N/A</v>
      </c>
      <c r="Z222" s="143" t="e">
        <f t="shared" si="132"/>
        <v>#N/A</v>
      </c>
      <c r="AA222" s="116"/>
      <c r="AB222" s="114" t="str">
        <f t="shared" si="133"/>
        <v>0-20</v>
      </c>
      <c r="AC222" s="114">
        <f t="shared" si="134"/>
        <v>3844.3574443810608</v>
      </c>
      <c r="AD222" s="129"/>
      <c r="AE222" s="129" t="str">
        <f t="shared" si="138"/>
        <v>0-20</v>
      </c>
      <c r="AF222" s="129">
        <f t="shared" si="139"/>
        <v>3844.3574443810608</v>
      </c>
      <c r="AG222" s="138">
        <v>130</v>
      </c>
      <c r="AH222" s="138" t="str">
        <f t="shared" ref="AH222:AH285" si="140">VLOOKUP(AG222,$AV$4:$AW$9,2,1)</f>
        <v>110-130</v>
      </c>
      <c r="AI222" s="138">
        <f t="shared" ref="AI222:AI285" si="141">VLOOKUP(AH222,$AW$3:$AX$9,2,0)</f>
        <v>10159.810450732197</v>
      </c>
      <c r="AJ222" s="36"/>
      <c r="AK222" s="36"/>
      <c r="AL222" s="37"/>
      <c r="AM222" s="79">
        <v>57</v>
      </c>
      <c r="AN222" s="86" t="str">
        <f>VLOOKUP(AM222,$AV$3:$AW$9,2,1)</f>
        <v>51-80</v>
      </c>
      <c r="AO222" s="128">
        <f>VLOOKUP(AN222,$AW$3:$AX$9,2,0)</f>
        <v>6509</v>
      </c>
      <c r="AP222" s="133"/>
      <c r="AQ222" s="133" t="str">
        <f t="shared" si="135"/>
        <v>0-20</v>
      </c>
      <c r="AR222" s="133">
        <f t="shared" si="136"/>
        <v>3844.3574443810608</v>
      </c>
      <c r="AS222" s="131"/>
      <c r="AT222" s="131"/>
      <c r="AU222" s="4"/>
    </row>
    <row r="223" spans="1:47" s="14" customFormat="1" x14ac:dyDescent="0.25">
      <c r="A223" s="32">
        <v>214</v>
      </c>
      <c r="B223" s="13" t="s">
        <v>21</v>
      </c>
      <c r="C223" s="9" t="s">
        <v>751</v>
      </c>
      <c r="D223" s="10" t="s">
        <v>1049</v>
      </c>
      <c r="E223" s="9" t="s">
        <v>752</v>
      </c>
      <c r="F223" s="34" t="s">
        <v>753</v>
      </c>
      <c r="G223" s="73" t="s">
        <v>558</v>
      </c>
      <c r="H223" s="33">
        <v>421302</v>
      </c>
      <c r="I223" s="90">
        <v>102</v>
      </c>
      <c r="J223" s="91" t="str">
        <f t="shared" si="121"/>
        <v>81-110</v>
      </c>
      <c r="K223" s="91">
        <f t="shared" si="122"/>
        <v>8747.8561594387575</v>
      </c>
      <c r="L223" s="35">
        <v>14</v>
      </c>
      <c r="M223" s="35" t="str">
        <f t="shared" si="123"/>
        <v>0-20</v>
      </c>
      <c r="N223" s="36">
        <f t="shared" si="137"/>
        <v>3844.3574443810608</v>
      </c>
      <c r="O223" s="51">
        <v>39</v>
      </c>
      <c r="P223" s="51" t="str">
        <f t="shared" si="128"/>
        <v>31-50</v>
      </c>
      <c r="Q223" s="51">
        <f t="shared" si="124"/>
        <v>5073.1976040297868</v>
      </c>
      <c r="R223" s="49">
        <v>34</v>
      </c>
      <c r="S223" s="49" t="str">
        <f t="shared" si="125"/>
        <v>31-50</v>
      </c>
      <c r="T223" s="49">
        <f t="shared" si="126"/>
        <v>5073.1976040297868</v>
      </c>
      <c r="U223" s="50">
        <v>30</v>
      </c>
      <c r="V223" s="50" t="str">
        <f t="shared" si="129"/>
        <v>21-30</v>
      </c>
      <c r="W223" s="50">
        <f t="shared" si="130"/>
        <v>4508.6394748902885</v>
      </c>
      <c r="X223" s="143">
        <v>21</v>
      </c>
      <c r="Y223" s="143" t="str">
        <f t="shared" si="131"/>
        <v>21-30</v>
      </c>
      <c r="Z223" s="143">
        <f t="shared" si="132"/>
        <v>4508.6394748902885</v>
      </c>
      <c r="AA223" s="116"/>
      <c r="AB223" s="114" t="str">
        <f t="shared" si="133"/>
        <v>0-20</v>
      </c>
      <c r="AC223" s="114">
        <f t="shared" si="134"/>
        <v>3844.3574443810608</v>
      </c>
      <c r="AD223" s="129"/>
      <c r="AE223" s="129" t="str">
        <f t="shared" si="138"/>
        <v>0-20</v>
      </c>
      <c r="AF223" s="129">
        <f t="shared" si="139"/>
        <v>3844.3574443810608</v>
      </c>
      <c r="AG223" s="138">
        <v>75</v>
      </c>
      <c r="AH223" s="138" t="str">
        <f t="shared" si="140"/>
        <v>51-80</v>
      </c>
      <c r="AI223" s="138">
        <f t="shared" si="141"/>
        <v>6509</v>
      </c>
      <c r="AJ223" s="36"/>
      <c r="AK223" s="36"/>
      <c r="AL223" s="37"/>
      <c r="AM223" s="79"/>
      <c r="AN223" s="88"/>
      <c r="AO223" s="88"/>
      <c r="AP223" s="133"/>
      <c r="AQ223" s="133" t="str">
        <f t="shared" si="135"/>
        <v>0-20</v>
      </c>
      <c r="AR223" s="133">
        <f t="shared" si="136"/>
        <v>3844.3574443810608</v>
      </c>
      <c r="AS223" s="131"/>
      <c r="AT223" s="131"/>
      <c r="AU223" s="4"/>
    </row>
    <row r="224" spans="1:47" s="14" customFormat="1" x14ac:dyDescent="0.25">
      <c r="A224" s="32">
        <v>215</v>
      </c>
      <c r="B224" s="13" t="s">
        <v>21</v>
      </c>
      <c r="C224" s="9" t="s">
        <v>755</v>
      </c>
      <c r="D224" s="10" t="s">
        <v>1050</v>
      </c>
      <c r="E224" s="9" t="s">
        <v>754</v>
      </c>
      <c r="F224" s="34" t="s">
        <v>756</v>
      </c>
      <c r="G224" s="73" t="s">
        <v>757</v>
      </c>
      <c r="H224" s="33">
        <v>421601</v>
      </c>
      <c r="I224" s="90">
        <v>128</v>
      </c>
      <c r="J224" s="91" t="str">
        <f t="shared" ref="J224:J247" si="142">VLOOKUP(I224,$AV$3:$AW$9,2,1)</f>
        <v>110-130</v>
      </c>
      <c r="K224" s="91">
        <f t="shared" si="122"/>
        <v>10159.810450732197</v>
      </c>
      <c r="L224" s="99">
        <v>55</v>
      </c>
      <c r="M224" s="99" t="str">
        <f t="shared" si="123"/>
        <v>51-80</v>
      </c>
      <c r="N224" s="100">
        <f t="shared" si="137"/>
        <v>6509</v>
      </c>
      <c r="O224" s="51">
        <v>58</v>
      </c>
      <c r="P224" s="51" t="str">
        <f t="shared" si="128"/>
        <v>51-80</v>
      </c>
      <c r="Q224" s="51">
        <f t="shared" si="124"/>
        <v>6509</v>
      </c>
      <c r="R224" s="49">
        <v>75</v>
      </c>
      <c r="S224" s="49" t="str">
        <f t="shared" si="125"/>
        <v>51-80</v>
      </c>
      <c r="T224" s="49">
        <f t="shared" si="126"/>
        <v>6509</v>
      </c>
      <c r="U224" s="50">
        <v>71</v>
      </c>
      <c r="V224" s="50" t="str">
        <f t="shared" si="129"/>
        <v>51-80</v>
      </c>
      <c r="W224" s="50">
        <f t="shared" si="130"/>
        <v>6509</v>
      </c>
      <c r="X224" s="143">
        <v>30</v>
      </c>
      <c r="Y224" s="143" t="str">
        <f t="shared" si="131"/>
        <v>21-30</v>
      </c>
      <c r="Z224" s="143">
        <f t="shared" si="132"/>
        <v>4508.6394748902885</v>
      </c>
      <c r="AA224" s="116"/>
      <c r="AB224" s="114" t="str">
        <f t="shared" si="133"/>
        <v>0-20</v>
      </c>
      <c r="AC224" s="114">
        <f t="shared" si="134"/>
        <v>3844.3574443810608</v>
      </c>
      <c r="AD224" s="129"/>
      <c r="AE224" s="129" t="str">
        <f t="shared" si="138"/>
        <v>0-20</v>
      </c>
      <c r="AF224" s="129">
        <f t="shared" si="139"/>
        <v>3844.3574443810608</v>
      </c>
      <c r="AG224" s="138">
        <v>60</v>
      </c>
      <c r="AH224" s="138" t="str">
        <f t="shared" si="140"/>
        <v>51-80</v>
      </c>
      <c r="AI224" s="138">
        <f t="shared" si="141"/>
        <v>6509</v>
      </c>
      <c r="AJ224" s="36"/>
      <c r="AK224" s="36"/>
      <c r="AL224" s="37"/>
      <c r="AM224" s="79"/>
      <c r="AN224" s="88"/>
      <c r="AO224" s="88"/>
      <c r="AP224" s="133"/>
      <c r="AQ224" s="133" t="str">
        <f t="shared" si="135"/>
        <v>0-20</v>
      </c>
      <c r="AR224" s="133">
        <f t="shared" si="136"/>
        <v>3844.3574443810608</v>
      </c>
      <c r="AS224" s="131"/>
      <c r="AT224" s="131"/>
      <c r="AU224" s="4"/>
    </row>
    <row r="225" spans="1:47" s="14" customFormat="1" x14ac:dyDescent="0.25">
      <c r="A225" s="32">
        <v>216</v>
      </c>
      <c r="B225" s="13" t="s">
        <v>21</v>
      </c>
      <c r="C225" s="9" t="s">
        <v>758</v>
      </c>
      <c r="D225" s="10" t="s">
        <v>1051</v>
      </c>
      <c r="E225" s="9" t="s">
        <v>759</v>
      </c>
      <c r="F225" s="34" t="s">
        <v>760</v>
      </c>
      <c r="G225" s="73" t="s">
        <v>491</v>
      </c>
      <c r="H225" s="33">
        <v>410218</v>
      </c>
      <c r="I225" s="90">
        <v>80</v>
      </c>
      <c r="J225" s="91" t="str">
        <f t="shared" si="142"/>
        <v>51-80</v>
      </c>
      <c r="K225" s="91">
        <f t="shared" si="122"/>
        <v>6509</v>
      </c>
      <c r="L225" s="35">
        <v>33</v>
      </c>
      <c r="M225" s="35" t="str">
        <f t="shared" si="123"/>
        <v>31-50</v>
      </c>
      <c r="N225" s="36">
        <f t="shared" si="137"/>
        <v>5073.1976040297868</v>
      </c>
      <c r="O225" s="51">
        <v>72</v>
      </c>
      <c r="P225" s="51" t="str">
        <f t="shared" si="128"/>
        <v>51-80</v>
      </c>
      <c r="Q225" s="51">
        <f t="shared" si="124"/>
        <v>6509</v>
      </c>
      <c r="R225" s="49">
        <v>46</v>
      </c>
      <c r="S225" s="49" t="str">
        <f t="shared" si="125"/>
        <v>31-50</v>
      </c>
      <c r="T225" s="49">
        <f t="shared" si="126"/>
        <v>5073.1976040297868</v>
      </c>
      <c r="U225" s="50">
        <v>29</v>
      </c>
      <c r="V225" s="50" t="str">
        <f t="shared" si="129"/>
        <v>21-30</v>
      </c>
      <c r="W225" s="50">
        <f t="shared" si="130"/>
        <v>4508.6394748902885</v>
      </c>
      <c r="X225" s="143">
        <v>46</v>
      </c>
      <c r="Y225" s="143" t="str">
        <f t="shared" si="131"/>
        <v>31-50</v>
      </c>
      <c r="Z225" s="143">
        <f t="shared" si="132"/>
        <v>5073.1976040297868</v>
      </c>
      <c r="AA225" s="116"/>
      <c r="AB225" s="114" t="str">
        <f t="shared" si="133"/>
        <v>0-20</v>
      </c>
      <c r="AC225" s="114">
        <f t="shared" si="134"/>
        <v>3844.3574443810608</v>
      </c>
      <c r="AD225" s="129"/>
      <c r="AE225" s="129" t="str">
        <f t="shared" si="138"/>
        <v>0-20</v>
      </c>
      <c r="AF225" s="129">
        <f t="shared" si="139"/>
        <v>3844.3574443810608</v>
      </c>
      <c r="AG225" s="138">
        <v>112</v>
      </c>
      <c r="AH225" s="138" t="str">
        <f t="shared" si="140"/>
        <v>110-130</v>
      </c>
      <c r="AI225" s="138">
        <f t="shared" si="141"/>
        <v>10159.810450732197</v>
      </c>
      <c r="AJ225" s="36"/>
      <c r="AK225" s="36"/>
      <c r="AL225" s="37"/>
      <c r="AM225" s="79"/>
      <c r="AN225" s="79"/>
      <c r="AO225" s="79"/>
      <c r="AP225" s="133"/>
      <c r="AQ225" s="133" t="str">
        <f t="shared" si="135"/>
        <v>0-20</v>
      </c>
      <c r="AR225" s="133">
        <f t="shared" si="136"/>
        <v>3844.3574443810608</v>
      </c>
      <c r="AS225" s="131"/>
      <c r="AT225" s="131"/>
      <c r="AU225" s="4"/>
    </row>
    <row r="226" spans="1:47" s="14" customFormat="1" x14ac:dyDescent="0.25">
      <c r="A226" s="32">
        <v>217</v>
      </c>
      <c r="B226" s="13" t="s">
        <v>21</v>
      </c>
      <c r="C226" s="9" t="s">
        <v>761</v>
      </c>
      <c r="D226" s="10" t="s">
        <v>1052</v>
      </c>
      <c r="E226" s="9" t="s">
        <v>762</v>
      </c>
      <c r="F226" s="34" t="s">
        <v>763</v>
      </c>
      <c r="G226" s="6" t="s">
        <v>764</v>
      </c>
      <c r="H226" s="33">
        <v>400703</v>
      </c>
      <c r="I226" s="90">
        <v>84</v>
      </c>
      <c r="J226" s="91" t="str">
        <f t="shared" si="142"/>
        <v>81-110</v>
      </c>
      <c r="K226" s="91">
        <f t="shared" ref="K226:K257" si="143">VLOOKUP(J226,$AW$3:$AX$9,2,0)</f>
        <v>8747.8561594387575</v>
      </c>
      <c r="L226" s="99">
        <v>20</v>
      </c>
      <c r="M226" s="99" t="str">
        <f t="shared" ref="M226:M257" si="144">VLOOKUP(L226,$AV$4:$AW$9,2,1)</f>
        <v>0-20</v>
      </c>
      <c r="N226" s="100">
        <f t="shared" si="137"/>
        <v>3844.3574443810608</v>
      </c>
      <c r="O226" s="51">
        <v>73</v>
      </c>
      <c r="P226" s="51" t="str">
        <f t="shared" si="128"/>
        <v>51-80</v>
      </c>
      <c r="Q226" s="51">
        <f t="shared" si="124"/>
        <v>6509</v>
      </c>
      <c r="R226" s="49">
        <v>27</v>
      </c>
      <c r="S226" s="49" t="str">
        <f t="shared" si="125"/>
        <v>21-30</v>
      </c>
      <c r="T226" s="49">
        <f t="shared" si="126"/>
        <v>4508.6394748902885</v>
      </c>
      <c r="U226" s="50">
        <v>18</v>
      </c>
      <c r="V226" s="50" t="str">
        <f t="shared" si="129"/>
        <v>0-20</v>
      </c>
      <c r="W226" s="50">
        <f t="shared" si="130"/>
        <v>3844.3574443810608</v>
      </c>
      <c r="X226" s="143">
        <v>42</v>
      </c>
      <c r="Y226" s="143" t="str">
        <f t="shared" si="131"/>
        <v>31-50</v>
      </c>
      <c r="Z226" s="143">
        <f t="shared" si="132"/>
        <v>5073.1976040297868</v>
      </c>
      <c r="AA226" s="116"/>
      <c r="AB226" s="114" t="str">
        <f t="shared" si="133"/>
        <v>0-20</v>
      </c>
      <c r="AC226" s="114">
        <f t="shared" si="134"/>
        <v>3844.3574443810608</v>
      </c>
      <c r="AD226" s="129"/>
      <c r="AE226" s="129" t="str">
        <f t="shared" si="138"/>
        <v>0-20</v>
      </c>
      <c r="AF226" s="129">
        <f t="shared" si="139"/>
        <v>3844.3574443810608</v>
      </c>
      <c r="AG226" s="138">
        <v>103</v>
      </c>
      <c r="AH226" s="138" t="str">
        <f t="shared" si="140"/>
        <v>81-110</v>
      </c>
      <c r="AI226" s="138">
        <f t="shared" si="141"/>
        <v>8747.8561594387575</v>
      </c>
      <c r="AJ226" s="36"/>
      <c r="AK226" s="36"/>
      <c r="AL226" s="37"/>
      <c r="AM226" s="79"/>
      <c r="AN226" s="79"/>
      <c r="AO226" s="79"/>
      <c r="AP226" s="133"/>
      <c r="AQ226" s="133" t="str">
        <f t="shared" si="135"/>
        <v>0-20</v>
      </c>
      <c r="AR226" s="133">
        <f t="shared" si="136"/>
        <v>3844.3574443810608</v>
      </c>
      <c r="AS226" s="131"/>
      <c r="AT226" s="131"/>
      <c r="AU226" s="4"/>
    </row>
    <row r="227" spans="1:47" s="14" customFormat="1" x14ac:dyDescent="0.25">
      <c r="A227" s="32">
        <v>218</v>
      </c>
      <c r="B227" s="13" t="s">
        <v>21</v>
      </c>
      <c r="C227" s="89" t="s">
        <v>765</v>
      </c>
      <c r="D227" s="10" t="s">
        <v>1053</v>
      </c>
      <c r="E227" s="89" t="s">
        <v>766</v>
      </c>
      <c r="F227" s="71" t="s">
        <v>1472</v>
      </c>
      <c r="G227" s="6" t="s">
        <v>767</v>
      </c>
      <c r="H227" s="33">
        <v>400612</v>
      </c>
      <c r="I227" s="90">
        <v>97</v>
      </c>
      <c r="J227" s="91" t="str">
        <f t="shared" si="142"/>
        <v>81-110</v>
      </c>
      <c r="K227" s="91">
        <f t="shared" si="143"/>
        <v>8747.8561594387575</v>
      </c>
      <c r="L227" s="99">
        <v>22</v>
      </c>
      <c r="M227" s="99" t="str">
        <f t="shared" si="144"/>
        <v>21-30</v>
      </c>
      <c r="N227" s="100">
        <f t="shared" si="137"/>
        <v>4508.6394748902885</v>
      </c>
      <c r="O227" s="51">
        <v>65</v>
      </c>
      <c r="P227" s="51" t="str">
        <f t="shared" si="128"/>
        <v>51-80</v>
      </c>
      <c r="Q227" s="51">
        <f t="shared" si="124"/>
        <v>6509</v>
      </c>
      <c r="R227" s="49">
        <v>36</v>
      </c>
      <c r="S227" s="49" t="str">
        <f t="shared" si="125"/>
        <v>31-50</v>
      </c>
      <c r="T227" s="49">
        <f t="shared" si="126"/>
        <v>5073.1976040297868</v>
      </c>
      <c r="U227" s="50">
        <v>33</v>
      </c>
      <c r="V227" s="50" t="str">
        <f t="shared" si="129"/>
        <v>31-50</v>
      </c>
      <c r="W227" s="50">
        <f t="shared" si="130"/>
        <v>5073.1976040297868</v>
      </c>
      <c r="X227" s="143">
        <v>37</v>
      </c>
      <c r="Y227" s="143" t="str">
        <f t="shared" si="131"/>
        <v>31-50</v>
      </c>
      <c r="Z227" s="143">
        <f t="shared" si="132"/>
        <v>5073.1976040297868</v>
      </c>
      <c r="AA227" s="116"/>
      <c r="AB227" s="114" t="str">
        <f t="shared" si="133"/>
        <v>0-20</v>
      </c>
      <c r="AC227" s="114">
        <f t="shared" si="134"/>
        <v>3844.3574443810608</v>
      </c>
      <c r="AD227" s="129">
        <v>18</v>
      </c>
      <c r="AE227" s="129" t="str">
        <f t="shared" si="138"/>
        <v>0-20</v>
      </c>
      <c r="AF227" s="129">
        <f t="shared" si="139"/>
        <v>3844.3574443810608</v>
      </c>
      <c r="AG227" s="138">
        <v>92</v>
      </c>
      <c r="AH227" s="138" t="str">
        <f t="shared" si="140"/>
        <v>81-110</v>
      </c>
      <c r="AI227" s="138">
        <f t="shared" si="141"/>
        <v>8747.8561594387575</v>
      </c>
      <c r="AJ227" s="36"/>
      <c r="AK227" s="36"/>
      <c r="AL227" s="37"/>
      <c r="AM227" s="79"/>
      <c r="AN227" s="79"/>
      <c r="AO227" s="79"/>
      <c r="AP227" s="133"/>
      <c r="AQ227" s="133" t="str">
        <f t="shared" si="135"/>
        <v>0-20</v>
      </c>
      <c r="AR227" s="133">
        <f t="shared" si="136"/>
        <v>3844.3574443810608</v>
      </c>
      <c r="AS227" s="131"/>
      <c r="AT227" s="131"/>
      <c r="AU227" s="4"/>
    </row>
    <row r="228" spans="1:47" s="14" customFormat="1" x14ac:dyDescent="0.25">
      <c r="A228" s="32">
        <v>219</v>
      </c>
      <c r="B228" s="13" t="s">
        <v>21</v>
      </c>
      <c r="C228" s="9" t="s">
        <v>768</v>
      </c>
      <c r="D228" s="10" t="s">
        <v>1054</v>
      </c>
      <c r="E228" s="9" t="s">
        <v>769</v>
      </c>
      <c r="F228" s="34" t="s">
        <v>1350</v>
      </c>
      <c r="G228" s="6" t="s">
        <v>565</v>
      </c>
      <c r="H228" s="33">
        <v>401504</v>
      </c>
      <c r="I228" s="90">
        <v>194</v>
      </c>
      <c r="J228" s="91" t="str">
        <f t="shared" si="142"/>
        <v>110-130</v>
      </c>
      <c r="K228" s="91">
        <f t="shared" si="143"/>
        <v>10159.810450732197</v>
      </c>
      <c r="L228" s="35">
        <v>101</v>
      </c>
      <c r="M228" s="35" t="str">
        <f t="shared" si="144"/>
        <v>81-110</v>
      </c>
      <c r="N228" s="36">
        <f t="shared" si="137"/>
        <v>8747.8561594387575</v>
      </c>
      <c r="O228" s="51">
        <v>60</v>
      </c>
      <c r="P228" s="51" t="str">
        <f t="shared" si="128"/>
        <v>51-80</v>
      </c>
      <c r="Q228" s="51">
        <f t="shared" si="124"/>
        <v>6509</v>
      </c>
      <c r="R228" s="49">
        <v>103</v>
      </c>
      <c r="S228" s="49" t="str">
        <f t="shared" si="125"/>
        <v>81-110</v>
      </c>
      <c r="T228" s="49">
        <f t="shared" si="126"/>
        <v>8747.8561594387575</v>
      </c>
      <c r="U228" s="50">
        <v>117</v>
      </c>
      <c r="V228" s="50" t="str">
        <f t="shared" si="129"/>
        <v>110-130</v>
      </c>
      <c r="W228" s="50">
        <f t="shared" si="130"/>
        <v>10159.810450732197</v>
      </c>
      <c r="X228" s="143" t="s">
        <v>1458</v>
      </c>
      <c r="Y228" s="143" t="e">
        <f t="shared" si="131"/>
        <v>#N/A</v>
      </c>
      <c r="Z228" s="143" t="e">
        <f t="shared" si="132"/>
        <v>#N/A</v>
      </c>
      <c r="AA228" s="116"/>
      <c r="AB228" s="114" t="str">
        <f t="shared" si="133"/>
        <v>0-20</v>
      </c>
      <c r="AC228" s="114">
        <f t="shared" si="134"/>
        <v>3844.3574443810608</v>
      </c>
      <c r="AD228" s="129"/>
      <c r="AE228" s="129" t="str">
        <f t="shared" si="138"/>
        <v>0-20</v>
      </c>
      <c r="AF228" s="129">
        <f t="shared" si="139"/>
        <v>3844.3574443810608</v>
      </c>
      <c r="AG228" s="138">
        <v>42</v>
      </c>
      <c r="AH228" s="138" t="str">
        <f t="shared" si="140"/>
        <v>31-50</v>
      </c>
      <c r="AI228" s="138">
        <f t="shared" si="141"/>
        <v>5073.1976040297868</v>
      </c>
      <c r="AJ228" s="36"/>
      <c r="AK228" s="36"/>
      <c r="AL228" s="37"/>
      <c r="AM228" s="79"/>
      <c r="AN228" s="79"/>
      <c r="AO228" s="79"/>
      <c r="AP228" s="133"/>
      <c r="AQ228" s="133" t="str">
        <f t="shared" si="135"/>
        <v>0-20</v>
      </c>
      <c r="AR228" s="133">
        <f t="shared" si="136"/>
        <v>3844.3574443810608</v>
      </c>
      <c r="AS228" s="131"/>
      <c r="AT228" s="131"/>
      <c r="AU228" s="4"/>
    </row>
    <row r="229" spans="1:47" s="14" customFormat="1" x14ac:dyDescent="0.25">
      <c r="A229" s="32">
        <v>220</v>
      </c>
      <c r="B229" s="13" t="s">
        <v>21</v>
      </c>
      <c r="C229" s="9" t="s">
        <v>770</v>
      </c>
      <c r="D229" s="10" t="s">
        <v>1055</v>
      </c>
      <c r="E229" s="9" t="s">
        <v>771</v>
      </c>
      <c r="F229" s="34" t="s">
        <v>772</v>
      </c>
      <c r="G229" s="6" t="s">
        <v>578</v>
      </c>
      <c r="H229" s="33">
        <v>410210</v>
      </c>
      <c r="I229" s="90">
        <v>61</v>
      </c>
      <c r="J229" s="91" t="str">
        <f t="shared" si="142"/>
        <v>51-80</v>
      </c>
      <c r="K229" s="91">
        <f t="shared" si="143"/>
        <v>6509</v>
      </c>
      <c r="L229" s="35">
        <v>42</v>
      </c>
      <c r="M229" s="35" t="str">
        <f t="shared" si="144"/>
        <v>31-50</v>
      </c>
      <c r="N229" s="36">
        <f t="shared" si="137"/>
        <v>5073.1976040297868</v>
      </c>
      <c r="O229" s="51">
        <v>76</v>
      </c>
      <c r="P229" s="51" t="str">
        <f t="shared" si="128"/>
        <v>51-80</v>
      </c>
      <c r="Q229" s="51">
        <f t="shared" si="124"/>
        <v>6509</v>
      </c>
      <c r="R229" s="49">
        <v>46</v>
      </c>
      <c r="S229" s="49" t="str">
        <f t="shared" si="125"/>
        <v>31-50</v>
      </c>
      <c r="T229" s="49">
        <f t="shared" si="126"/>
        <v>5073.1976040297868</v>
      </c>
      <c r="U229" s="50">
        <v>38</v>
      </c>
      <c r="V229" s="50" t="str">
        <f t="shared" si="129"/>
        <v>31-50</v>
      </c>
      <c r="W229" s="50">
        <f t="shared" si="130"/>
        <v>5073.1976040297868</v>
      </c>
      <c r="X229" s="143">
        <v>47</v>
      </c>
      <c r="Y229" s="143" t="str">
        <f t="shared" si="131"/>
        <v>31-50</v>
      </c>
      <c r="Z229" s="143">
        <f t="shared" si="132"/>
        <v>5073.1976040297868</v>
      </c>
      <c r="AA229" s="116"/>
      <c r="AB229" s="114" t="str">
        <f t="shared" si="133"/>
        <v>0-20</v>
      </c>
      <c r="AC229" s="114">
        <f t="shared" si="134"/>
        <v>3844.3574443810608</v>
      </c>
      <c r="AD229" s="129"/>
      <c r="AE229" s="129" t="str">
        <f t="shared" si="138"/>
        <v>0-20</v>
      </c>
      <c r="AF229" s="129">
        <f t="shared" si="139"/>
        <v>3844.3574443810608</v>
      </c>
      <c r="AG229" s="138">
        <v>111</v>
      </c>
      <c r="AH229" s="138" t="str">
        <f t="shared" si="140"/>
        <v>110-130</v>
      </c>
      <c r="AI229" s="138">
        <f t="shared" si="141"/>
        <v>10159.810450732197</v>
      </c>
      <c r="AJ229" s="36"/>
      <c r="AK229" s="36"/>
      <c r="AL229" s="37"/>
      <c r="AM229" s="79"/>
      <c r="AN229" s="79"/>
      <c r="AO229" s="79"/>
      <c r="AP229" s="133"/>
      <c r="AQ229" s="133" t="str">
        <f t="shared" si="135"/>
        <v>0-20</v>
      </c>
      <c r="AR229" s="133">
        <f t="shared" si="136"/>
        <v>3844.3574443810608</v>
      </c>
      <c r="AS229" s="131"/>
      <c r="AT229" s="131"/>
      <c r="AU229" s="4"/>
    </row>
    <row r="230" spans="1:47" s="14" customFormat="1" x14ac:dyDescent="0.25">
      <c r="A230" s="32">
        <v>221</v>
      </c>
      <c r="B230" s="13" t="s">
        <v>21</v>
      </c>
      <c r="C230" s="9" t="s">
        <v>773</v>
      </c>
      <c r="D230" s="10" t="s">
        <v>1056</v>
      </c>
      <c r="E230" s="9" t="s">
        <v>774</v>
      </c>
      <c r="F230" s="34" t="s">
        <v>775</v>
      </c>
      <c r="G230" s="6" t="s">
        <v>776</v>
      </c>
      <c r="H230" s="33">
        <v>421203</v>
      </c>
      <c r="I230" s="90">
        <v>92</v>
      </c>
      <c r="J230" s="91" t="str">
        <f t="shared" si="142"/>
        <v>81-110</v>
      </c>
      <c r="K230" s="91">
        <f t="shared" si="143"/>
        <v>8747.8561594387575</v>
      </c>
      <c r="L230" s="35">
        <v>26</v>
      </c>
      <c r="M230" s="35" t="str">
        <f t="shared" si="144"/>
        <v>21-30</v>
      </c>
      <c r="N230" s="36">
        <f t="shared" si="137"/>
        <v>4508.6394748902885</v>
      </c>
      <c r="O230" s="51">
        <v>54</v>
      </c>
      <c r="P230" s="51" t="str">
        <f t="shared" si="128"/>
        <v>51-80</v>
      </c>
      <c r="Q230" s="51">
        <f t="shared" si="124"/>
        <v>6509</v>
      </c>
      <c r="R230" s="49">
        <v>48</v>
      </c>
      <c r="S230" s="49" t="str">
        <f t="shared" si="125"/>
        <v>31-50</v>
      </c>
      <c r="T230" s="49">
        <f t="shared" si="126"/>
        <v>5073.1976040297868</v>
      </c>
      <c r="U230" s="50">
        <v>39</v>
      </c>
      <c r="V230" s="50" t="str">
        <f t="shared" si="129"/>
        <v>31-50</v>
      </c>
      <c r="W230" s="50">
        <f t="shared" si="130"/>
        <v>5073.1976040297868</v>
      </c>
      <c r="X230" s="143">
        <v>26</v>
      </c>
      <c r="Y230" s="143" t="str">
        <f t="shared" si="131"/>
        <v>21-30</v>
      </c>
      <c r="Z230" s="143">
        <f t="shared" si="132"/>
        <v>4508.6394748902885</v>
      </c>
      <c r="AA230" s="116"/>
      <c r="AB230" s="114" t="str">
        <f t="shared" si="133"/>
        <v>0-20</v>
      </c>
      <c r="AC230" s="114">
        <f t="shared" si="134"/>
        <v>3844.3574443810608</v>
      </c>
      <c r="AD230" s="129"/>
      <c r="AE230" s="129" t="str">
        <f t="shared" si="138"/>
        <v>0-20</v>
      </c>
      <c r="AF230" s="129">
        <f t="shared" si="139"/>
        <v>3844.3574443810608</v>
      </c>
      <c r="AG230" s="138">
        <v>80</v>
      </c>
      <c r="AH230" s="138" t="str">
        <f t="shared" si="140"/>
        <v>51-80</v>
      </c>
      <c r="AI230" s="138">
        <f t="shared" si="141"/>
        <v>6509</v>
      </c>
      <c r="AJ230" s="36"/>
      <c r="AK230" s="36"/>
      <c r="AL230" s="37"/>
      <c r="AM230" s="79"/>
      <c r="AN230" s="79"/>
      <c r="AO230" s="79"/>
      <c r="AP230" s="133"/>
      <c r="AQ230" s="133" t="str">
        <f t="shared" si="135"/>
        <v>0-20</v>
      </c>
      <c r="AR230" s="133">
        <f t="shared" si="136"/>
        <v>3844.3574443810608</v>
      </c>
      <c r="AS230" s="131"/>
      <c r="AT230" s="131"/>
      <c r="AU230" s="4"/>
    </row>
    <row r="231" spans="1:47" s="14" customFormat="1" x14ac:dyDescent="0.25">
      <c r="A231" s="32">
        <v>222</v>
      </c>
      <c r="B231" s="13" t="s">
        <v>21</v>
      </c>
      <c r="C231" s="9" t="s">
        <v>777</v>
      </c>
      <c r="D231" s="10" t="s">
        <v>1057</v>
      </c>
      <c r="E231" s="9" t="s">
        <v>778</v>
      </c>
      <c r="F231" s="34" t="s">
        <v>1349</v>
      </c>
      <c r="G231" s="106" t="s">
        <v>779</v>
      </c>
      <c r="H231" s="33">
        <v>401305</v>
      </c>
      <c r="I231" s="90">
        <v>149</v>
      </c>
      <c r="J231" s="91" t="str">
        <f t="shared" si="142"/>
        <v>110-130</v>
      </c>
      <c r="K231" s="91">
        <f t="shared" si="143"/>
        <v>10159.810450732197</v>
      </c>
      <c r="L231" s="99">
        <v>53</v>
      </c>
      <c r="M231" s="99" t="str">
        <f t="shared" si="144"/>
        <v>51-80</v>
      </c>
      <c r="N231" s="100">
        <f t="shared" si="137"/>
        <v>6509</v>
      </c>
      <c r="O231" s="51">
        <v>14</v>
      </c>
      <c r="P231" s="51" t="str">
        <f t="shared" si="128"/>
        <v>0-20</v>
      </c>
      <c r="Q231" s="51">
        <f t="shared" si="124"/>
        <v>3844.3574443810608</v>
      </c>
      <c r="R231" s="49">
        <v>55</v>
      </c>
      <c r="S231" s="49" t="str">
        <f t="shared" si="125"/>
        <v>51-80</v>
      </c>
      <c r="T231" s="49">
        <f t="shared" si="126"/>
        <v>6509</v>
      </c>
      <c r="U231" s="50">
        <v>64</v>
      </c>
      <c r="V231" s="50" t="str">
        <f t="shared" si="129"/>
        <v>51-80</v>
      </c>
      <c r="W231" s="50">
        <f t="shared" si="130"/>
        <v>6509</v>
      </c>
      <c r="X231" s="143" t="s">
        <v>1458</v>
      </c>
      <c r="Y231" s="143" t="e">
        <f t="shared" si="131"/>
        <v>#N/A</v>
      </c>
      <c r="Z231" s="143" t="e">
        <f t="shared" si="132"/>
        <v>#N/A</v>
      </c>
      <c r="AA231" s="116"/>
      <c r="AB231" s="114" t="str">
        <f t="shared" si="133"/>
        <v>0-20</v>
      </c>
      <c r="AC231" s="114">
        <f t="shared" si="134"/>
        <v>3844.3574443810608</v>
      </c>
      <c r="AD231" s="129"/>
      <c r="AE231" s="129" t="str">
        <f t="shared" si="138"/>
        <v>0-20</v>
      </c>
      <c r="AF231" s="129">
        <f t="shared" si="139"/>
        <v>3844.3574443810608</v>
      </c>
      <c r="AG231" s="138">
        <v>56</v>
      </c>
      <c r="AH231" s="138" t="str">
        <f t="shared" si="140"/>
        <v>51-80</v>
      </c>
      <c r="AI231" s="138">
        <f t="shared" si="141"/>
        <v>6509</v>
      </c>
      <c r="AJ231" s="36"/>
      <c r="AK231" s="36"/>
      <c r="AL231" s="37"/>
      <c r="AM231" s="79"/>
      <c r="AN231" s="79"/>
      <c r="AO231" s="79"/>
      <c r="AP231" s="133"/>
      <c r="AQ231" s="133" t="str">
        <f t="shared" si="135"/>
        <v>0-20</v>
      </c>
      <c r="AR231" s="133">
        <f t="shared" si="136"/>
        <v>3844.3574443810608</v>
      </c>
      <c r="AS231" s="131"/>
      <c r="AT231" s="131"/>
      <c r="AU231" s="4"/>
    </row>
    <row r="232" spans="1:47" s="14" customFormat="1" x14ac:dyDescent="0.25">
      <c r="A232" s="32">
        <v>223</v>
      </c>
      <c r="B232" s="13" t="s">
        <v>21</v>
      </c>
      <c r="C232" s="9" t="s">
        <v>780</v>
      </c>
      <c r="D232" s="10" t="s">
        <v>1058</v>
      </c>
      <c r="E232" s="108" t="s">
        <v>239</v>
      </c>
      <c r="F232" s="34" t="s">
        <v>781</v>
      </c>
      <c r="G232" s="6" t="s">
        <v>171</v>
      </c>
      <c r="H232" s="33">
        <v>421306</v>
      </c>
      <c r="I232" s="90">
        <v>75</v>
      </c>
      <c r="J232" s="91" t="str">
        <f t="shared" si="142"/>
        <v>51-80</v>
      </c>
      <c r="K232" s="91">
        <f t="shared" si="143"/>
        <v>6509</v>
      </c>
      <c r="L232" s="35">
        <v>32</v>
      </c>
      <c r="M232" s="35" t="str">
        <f t="shared" si="144"/>
        <v>31-50</v>
      </c>
      <c r="N232" s="36">
        <f t="shared" si="137"/>
        <v>5073.1976040297868</v>
      </c>
      <c r="O232" s="51">
        <v>68</v>
      </c>
      <c r="P232" s="51" t="str">
        <f t="shared" si="128"/>
        <v>51-80</v>
      </c>
      <c r="Q232" s="51">
        <f t="shared" si="124"/>
        <v>6509</v>
      </c>
      <c r="R232" s="49">
        <v>43</v>
      </c>
      <c r="S232" s="49" t="str">
        <f t="shared" si="125"/>
        <v>31-50</v>
      </c>
      <c r="T232" s="49">
        <f t="shared" si="126"/>
        <v>5073.1976040297868</v>
      </c>
      <c r="U232" s="50">
        <v>34</v>
      </c>
      <c r="V232" s="50" t="str">
        <f t="shared" si="129"/>
        <v>31-50</v>
      </c>
      <c r="W232" s="50">
        <f t="shared" si="130"/>
        <v>5073.1976040297868</v>
      </c>
      <c r="X232" s="143" t="s">
        <v>1458</v>
      </c>
      <c r="Y232" s="143" t="e">
        <f t="shared" si="131"/>
        <v>#N/A</v>
      </c>
      <c r="Z232" s="143" t="e">
        <f t="shared" si="132"/>
        <v>#N/A</v>
      </c>
      <c r="AA232" s="116"/>
      <c r="AB232" s="114" t="str">
        <f t="shared" si="133"/>
        <v>0-20</v>
      </c>
      <c r="AC232" s="114">
        <f t="shared" si="134"/>
        <v>3844.3574443810608</v>
      </c>
      <c r="AD232" s="129"/>
      <c r="AE232" s="129" t="str">
        <f t="shared" si="138"/>
        <v>0-20</v>
      </c>
      <c r="AF232" s="129">
        <f t="shared" si="139"/>
        <v>3844.3574443810608</v>
      </c>
      <c r="AG232" s="139">
        <v>109</v>
      </c>
      <c r="AH232" s="138" t="str">
        <f t="shared" si="140"/>
        <v>81-110</v>
      </c>
      <c r="AI232" s="138">
        <f t="shared" si="141"/>
        <v>8747.8561594387575</v>
      </c>
      <c r="AJ232" s="36"/>
      <c r="AK232" s="36"/>
      <c r="AL232" s="37"/>
      <c r="AM232" s="79"/>
      <c r="AN232" s="79"/>
      <c r="AO232" s="79"/>
      <c r="AP232" s="133"/>
      <c r="AQ232" s="133" t="str">
        <f t="shared" si="135"/>
        <v>0-20</v>
      </c>
      <c r="AR232" s="133">
        <f t="shared" si="136"/>
        <v>3844.3574443810608</v>
      </c>
      <c r="AS232" s="131"/>
      <c r="AT232" s="131"/>
      <c r="AU232" s="4"/>
    </row>
    <row r="233" spans="1:47" s="14" customFormat="1" x14ac:dyDescent="0.25">
      <c r="A233" s="32">
        <v>224</v>
      </c>
      <c r="B233" s="13" t="s">
        <v>21</v>
      </c>
      <c r="C233" s="9" t="s">
        <v>782</v>
      </c>
      <c r="D233" s="10" t="s">
        <v>1059</v>
      </c>
      <c r="E233" s="9" t="s">
        <v>783</v>
      </c>
      <c r="F233" s="34" t="s">
        <v>784</v>
      </c>
      <c r="G233" s="6" t="s">
        <v>743</v>
      </c>
      <c r="H233" s="33">
        <v>402201</v>
      </c>
      <c r="I233" s="90">
        <v>91</v>
      </c>
      <c r="J233" s="91" t="str">
        <f t="shared" si="142"/>
        <v>81-110</v>
      </c>
      <c r="K233" s="91">
        <f t="shared" si="143"/>
        <v>8747.8561594387575</v>
      </c>
      <c r="L233" s="35">
        <v>95</v>
      </c>
      <c r="M233" s="35" t="str">
        <f t="shared" si="144"/>
        <v>81-110</v>
      </c>
      <c r="N233" s="36">
        <f t="shared" si="137"/>
        <v>8747.8561594387575</v>
      </c>
      <c r="O233" s="51">
        <v>142</v>
      </c>
      <c r="P233" s="51" t="str">
        <f t="shared" si="128"/>
        <v>110-130</v>
      </c>
      <c r="Q233" s="51">
        <f t="shared" si="124"/>
        <v>10159.810450732197</v>
      </c>
      <c r="R233" s="49">
        <v>98</v>
      </c>
      <c r="S233" s="49" t="str">
        <f t="shared" si="125"/>
        <v>81-110</v>
      </c>
      <c r="T233" s="49">
        <f t="shared" si="126"/>
        <v>8747.8561594387575</v>
      </c>
      <c r="U233" s="50">
        <v>99</v>
      </c>
      <c r="V233" s="50" t="str">
        <f t="shared" si="129"/>
        <v>81-110</v>
      </c>
      <c r="W233" s="50">
        <f t="shared" si="130"/>
        <v>8747.8561594387575</v>
      </c>
      <c r="X233" s="143" t="s">
        <v>1458</v>
      </c>
      <c r="Y233" s="143" t="e">
        <f t="shared" si="131"/>
        <v>#N/A</v>
      </c>
      <c r="Z233" s="143" t="e">
        <f t="shared" si="132"/>
        <v>#N/A</v>
      </c>
      <c r="AA233" s="116"/>
      <c r="AB233" s="114" t="str">
        <f t="shared" si="133"/>
        <v>0-20</v>
      </c>
      <c r="AC233" s="114">
        <f t="shared" si="134"/>
        <v>3844.3574443810608</v>
      </c>
      <c r="AD233" s="129"/>
      <c r="AE233" s="129" t="str">
        <f t="shared" si="138"/>
        <v>0-20</v>
      </c>
      <c r="AF233" s="129">
        <f t="shared" si="139"/>
        <v>3844.3574443810608</v>
      </c>
      <c r="AG233" s="138">
        <v>182</v>
      </c>
      <c r="AH233" s="138" t="str">
        <f t="shared" si="140"/>
        <v>110-130</v>
      </c>
      <c r="AI233" s="138">
        <f t="shared" si="141"/>
        <v>10159.810450732197</v>
      </c>
      <c r="AJ233" s="36"/>
      <c r="AK233" s="36"/>
      <c r="AL233" s="37"/>
      <c r="AM233" s="79"/>
      <c r="AN233" s="79"/>
      <c r="AO233" s="79"/>
      <c r="AP233" s="133"/>
      <c r="AQ233" s="133" t="str">
        <f t="shared" si="135"/>
        <v>0-20</v>
      </c>
      <c r="AR233" s="133">
        <f t="shared" si="136"/>
        <v>3844.3574443810608</v>
      </c>
      <c r="AS233" s="131"/>
      <c r="AT233" s="131"/>
      <c r="AU233" s="4"/>
    </row>
    <row r="234" spans="1:47" s="14" customFormat="1" x14ac:dyDescent="0.25">
      <c r="A234" s="32">
        <v>225</v>
      </c>
      <c r="B234" s="13" t="s">
        <v>21</v>
      </c>
      <c r="C234" s="9" t="s">
        <v>785</v>
      </c>
      <c r="D234" s="10" t="s">
        <v>1060</v>
      </c>
      <c r="E234" s="9" t="s">
        <v>786</v>
      </c>
      <c r="F234" s="34" t="s">
        <v>787</v>
      </c>
      <c r="G234" s="6" t="s">
        <v>743</v>
      </c>
      <c r="H234" s="33">
        <v>402203</v>
      </c>
      <c r="I234" s="90">
        <v>105</v>
      </c>
      <c r="J234" s="91" t="str">
        <f t="shared" si="142"/>
        <v>81-110</v>
      </c>
      <c r="K234" s="91">
        <f t="shared" si="143"/>
        <v>8747.8561594387575</v>
      </c>
      <c r="L234" s="35">
        <v>110</v>
      </c>
      <c r="M234" s="35" t="str">
        <f t="shared" si="144"/>
        <v>110-130</v>
      </c>
      <c r="N234" s="36">
        <f t="shared" si="137"/>
        <v>10159.810450732197</v>
      </c>
      <c r="O234" s="51">
        <v>151</v>
      </c>
      <c r="P234" s="51" t="str">
        <f t="shared" si="128"/>
        <v>110-130</v>
      </c>
      <c r="Q234" s="51">
        <f t="shared" si="124"/>
        <v>10159.810450732197</v>
      </c>
      <c r="R234" s="49">
        <v>123</v>
      </c>
      <c r="S234" s="49" t="str">
        <f t="shared" si="125"/>
        <v>110-130</v>
      </c>
      <c r="T234" s="49">
        <f t="shared" si="126"/>
        <v>10159.810450732197</v>
      </c>
      <c r="U234" s="50">
        <v>114</v>
      </c>
      <c r="V234" s="50" t="str">
        <f t="shared" si="129"/>
        <v>110-130</v>
      </c>
      <c r="W234" s="50">
        <f t="shared" si="130"/>
        <v>10159.810450732197</v>
      </c>
      <c r="X234" s="143" t="s">
        <v>1458</v>
      </c>
      <c r="Y234" s="143" t="e">
        <f t="shared" si="131"/>
        <v>#N/A</v>
      </c>
      <c r="Z234" s="143" t="e">
        <f t="shared" si="132"/>
        <v>#N/A</v>
      </c>
      <c r="AA234" s="116"/>
      <c r="AB234" s="114" t="str">
        <f t="shared" si="133"/>
        <v>0-20</v>
      </c>
      <c r="AC234" s="114">
        <f t="shared" si="134"/>
        <v>3844.3574443810608</v>
      </c>
      <c r="AD234" s="129"/>
      <c r="AE234" s="129" t="str">
        <f t="shared" si="138"/>
        <v>0-20</v>
      </c>
      <c r="AF234" s="129">
        <f t="shared" si="139"/>
        <v>3844.3574443810608</v>
      </c>
      <c r="AG234" s="138">
        <v>201</v>
      </c>
      <c r="AH234" s="138" t="str">
        <f t="shared" si="140"/>
        <v>110-130</v>
      </c>
      <c r="AI234" s="138">
        <f t="shared" si="141"/>
        <v>10159.810450732197</v>
      </c>
      <c r="AJ234" s="36"/>
      <c r="AK234" s="36"/>
      <c r="AL234" s="37"/>
      <c r="AM234" s="79"/>
      <c r="AN234" s="79"/>
      <c r="AO234" s="79"/>
      <c r="AP234" s="133"/>
      <c r="AQ234" s="133" t="str">
        <f t="shared" si="135"/>
        <v>0-20</v>
      </c>
      <c r="AR234" s="133">
        <f t="shared" si="136"/>
        <v>3844.3574443810608</v>
      </c>
      <c r="AS234" s="131"/>
      <c r="AT234" s="131"/>
      <c r="AU234" s="4"/>
    </row>
    <row r="235" spans="1:47" s="14" customFormat="1" x14ac:dyDescent="0.25">
      <c r="A235" s="32">
        <v>226</v>
      </c>
      <c r="B235" s="13" t="s">
        <v>21</v>
      </c>
      <c r="C235" s="9" t="s">
        <v>788</v>
      </c>
      <c r="D235" s="10" t="s">
        <v>1061</v>
      </c>
      <c r="E235" s="9" t="s">
        <v>789</v>
      </c>
      <c r="F235" s="34" t="s">
        <v>790</v>
      </c>
      <c r="G235" s="6" t="s">
        <v>533</v>
      </c>
      <c r="H235" s="33">
        <v>410206</v>
      </c>
      <c r="I235" s="90">
        <v>47</v>
      </c>
      <c r="J235" s="91" t="str">
        <f t="shared" si="142"/>
        <v>31-50</v>
      </c>
      <c r="K235" s="91">
        <f t="shared" si="143"/>
        <v>5073.1976040297868</v>
      </c>
      <c r="L235" s="35">
        <v>56</v>
      </c>
      <c r="M235" s="35" t="str">
        <f t="shared" si="144"/>
        <v>51-80</v>
      </c>
      <c r="N235" s="36">
        <f t="shared" si="137"/>
        <v>6509</v>
      </c>
      <c r="O235" s="51">
        <v>94</v>
      </c>
      <c r="P235" s="51" t="str">
        <f t="shared" si="128"/>
        <v>81-110</v>
      </c>
      <c r="Q235" s="51">
        <f t="shared" si="124"/>
        <v>8747.8561594387575</v>
      </c>
      <c r="R235" s="49">
        <v>60</v>
      </c>
      <c r="S235" s="49" t="str">
        <f t="shared" si="125"/>
        <v>51-80</v>
      </c>
      <c r="T235" s="49">
        <f t="shared" si="126"/>
        <v>6509</v>
      </c>
      <c r="U235" s="50">
        <v>53</v>
      </c>
      <c r="V235" s="50" t="str">
        <f t="shared" si="129"/>
        <v>51-80</v>
      </c>
      <c r="W235" s="50">
        <f t="shared" si="130"/>
        <v>6509</v>
      </c>
      <c r="X235" s="143">
        <v>69</v>
      </c>
      <c r="Y235" s="143" t="str">
        <f t="shared" si="131"/>
        <v>51-80</v>
      </c>
      <c r="Z235" s="143">
        <f t="shared" si="132"/>
        <v>6509</v>
      </c>
      <c r="AA235" s="116"/>
      <c r="AB235" s="114" t="str">
        <f t="shared" si="133"/>
        <v>0-20</v>
      </c>
      <c r="AC235" s="114">
        <f t="shared" si="134"/>
        <v>3844.3574443810608</v>
      </c>
      <c r="AD235" s="129"/>
      <c r="AE235" s="129" t="str">
        <f t="shared" si="138"/>
        <v>0-20</v>
      </c>
      <c r="AF235" s="129">
        <f t="shared" si="139"/>
        <v>3844.3574443810608</v>
      </c>
      <c r="AG235" s="139">
        <v>106</v>
      </c>
      <c r="AH235" s="138" t="str">
        <f t="shared" si="140"/>
        <v>81-110</v>
      </c>
      <c r="AI235" s="138">
        <f t="shared" si="141"/>
        <v>8747.8561594387575</v>
      </c>
      <c r="AJ235" s="36"/>
      <c r="AK235" s="36"/>
      <c r="AL235" s="37"/>
      <c r="AM235" s="79"/>
      <c r="AN235" s="79"/>
      <c r="AO235" s="79"/>
      <c r="AP235" s="133"/>
      <c r="AQ235" s="133" t="str">
        <f t="shared" si="135"/>
        <v>0-20</v>
      </c>
      <c r="AR235" s="133">
        <f t="shared" si="136"/>
        <v>3844.3574443810608</v>
      </c>
      <c r="AS235" s="131"/>
      <c r="AT235" s="131"/>
      <c r="AU235" s="4"/>
    </row>
    <row r="236" spans="1:47" s="14" customFormat="1" x14ac:dyDescent="0.25">
      <c r="A236" s="32">
        <v>227</v>
      </c>
      <c r="B236" s="13" t="s">
        <v>21</v>
      </c>
      <c r="C236" s="9" t="s">
        <v>802</v>
      </c>
      <c r="D236" s="10" t="s">
        <v>1062</v>
      </c>
      <c r="E236" s="9" t="s">
        <v>803</v>
      </c>
      <c r="F236" s="34" t="s">
        <v>804</v>
      </c>
      <c r="G236" s="6" t="s">
        <v>805</v>
      </c>
      <c r="H236" s="33">
        <v>402110</v>
      </c>
      <c r="I236" s="90">
        <v>158</v>
      </c>
      <c r="J236" s="91" t="str">
        <f t="shared" si="142"/>
        <v>110-130</v>
      </c>
      <c r="K236" s="91">
        <f t="shared" si="143"/>
        <v>10159.810450732197</v>
      </c>
      <c r="L236" s="35">
        <v>194</v>
      </c>
      <c r="M236" s="35" t="str">
        <f t="shared" si="144"/>
        <v>110-130</v>
      </c>
      <c r="N236" s="36">
        <f t="shared" si="137"/>
        <v>10159.810450732197</v>
      </c>
      <c r="O236" s="51">
        <v>229</v>
      </c>
      <c r="P236" s="51" t="str">
        <f t="shared" si="128"/>
        <v>110-130</v>
      </c>
      <c r="Q236" s="51">
        <f t="shared" si="124"/>
        <v>10159.810450732197</v>
      </c>
      <c r="R236" s="49">
        <v>198</v>
      </c>
      <c r="S236" s="49" t="str">
        <f t="shared" si="125"/>
        <v>110-130</v>
      </c>
      <c r="T236" s="49">
        <f t="shared" si="126"/>
        <v>10159.810450732197</v>
      </c>
      <c r="U236" s="50">
        <v>187</v>
      </c>
      <c r="V236" s="50" t="str">
        <f t="shared" si="129"/>
        <v>110-130</v>
      </c>
      <c r="W236" s="50">
        <f t="shared" si="130"/>
        <v>10159.810450732197</v>
      </c>
      <c r="X236" s="143" t="s">
        <v>1458</v>
      </c>
      <c r="Y236" s="143" t="e">
        <f t="shared" si="131"/>
        <v>#N/A</v>
      </c>
      <c r="Z236" s="143" t="e">
        <f t="shared" si="132"/>
        <v>#N/A</v>
      </c>
      <c r="AA236" s="116"/>
      <c r="AB236" s="114" t="str">
        <f t="shared" si="133"/>
        <v>0-20</v>
      </c>
      <c r="AC236" s="114">
        <f t="shared" si="134"/>
        <v>3844.3574443810608</v>
      </c>
      <c r="AD236" s="129"/>
      <c r="AE236" s="129" t="str">
        <f t="shared" si="138"/>
        <v>0-20</v>
      </c>
      <c r="AF236" s="129">
        <f t="shared" si="139"/>
        <v>3844.3574443810608</v>
      </c>
      <c r="AG236" s="138">
        <v>278</v>
      </c>
      <c r="AH236" s="138" t="str">
        <f t="shared" si="140"/>
        <v>110-130</v>
      </c>
      <c r="AI236" s="138">
        <f t="shared" si="141"/>
        <v>10159.810450732197</v>
      </c>
      <c r="AJ236" s="36"/>
      <c r="AK236" s="36"/>
      <c r="AL236" s="37"/>
      <c r="AM236" s="79"/>
      <c r="AN236" s="79"/>
      <c r="AO236" s="79"/>
      <c r="AP236" s="133"/>
      <c r="AQ236" s="133" t="str">
        <f t="shared" si="135"/>
        <v>0-20</v>
      </c>
      <c r="AR236" s="133">
        <f t="shared" si="136"/>
        <v>3844.3574443810608</v>
      </c>
      <c r="AS236" s="131"/>
      <c r="AT236" s="131"/>
      <c r="AU236" s="4"/>
    </row>
    <row r="237" spans="1:47" s="14" customFormat="1" x14ac:dyDescent="0.25">
      <c r="A237" s="32">
        <v>228</v>
      </c>
      <c r="B237" s="13" t="s">
        <v>21</v>
      </c>
      <c r="C237" s="9" t="s">
        <v>806</v>
      </c>
      <c r="D237" s="10" t="s">
        <v>1063</v>
      </c>
      <c r="E237" s="9" t="s">
        <v>807</v>
      </c>
      <c r="F237" s="34" t="s">
        <v>813</v>
      </c>
      <c r="G237" s="6" t="s">
        <v>814</v>
      </c>
      <c r="H237" s="33">
        <v>402107</v>
      </c>
      <c r="I237" s="90">
        <v>99</v>
      </c>
      <c r="J237" s="91" t="str">
        <f t="shared" si="142"/>
        <v>81-110</v>
      </c>
      <c r="K237" s="91">
        <f t="shared" si="143"/>
        <v>8747.8561594387575</v>
      </c>
      <c r="L237" s="35">
        <v>145</v>
      </c>
      <c r="M237" s="35" t="str">
        <f t="shared" si="144"/>
        <v>110-130</v>
      </c>
      <c r="N237" s="36">
        <f t="shared" si="137"/>
        <v>10159.810450732197</v>
      </c>
      <c r="O237" s="51">
        <v>168</v>
      </c>
      <c r="P237" s="51" t="str">
        <f t="shared" si="128"/>
        <v>110-130</v>
      </c>
      <c r="Q237" s="51">
        <f t="shared" si="124"/>
        <v>10159.810450732197</v>
      </c>
      <c r="R237" s="49">
        <v>139</v>
      </c>
      <c r="S237" s="49" t="str">
        <f t="shared" si="125"/>
        <v>110-130</v>
      </c>
      <c r="T237" s="49">
        <f t="shared" si="126"/>
        <v>10159.810450732197</v>
      </c>
      <c r="U237" s="50">
        <v>132</v>
      </c>
      <c r="V237" s="50" t="str">
        <f t="shared" si="129"/>
        <v>110-130</v>
      </c>
      <c r="W237" s="50">
        <f t="shared" si="130"/>
        <v>10159.810450732197</v>
      </c>
      <c r="X237" s="143" t="s">
        <v>1458</v>
      </c>
      <c r="Y237" s="143" t="e">
        <f t="shared" si="131"/>
        <v>#N/A</v>
      </c>
      <c r="Z237" s="143" t="e">
        <f t="shared" si="132"/>
        <v>#N/A</v>
      </c>
      <c r="AA237" s="116"/>
      <c r="AB237" s="114" t="str">
        <f t="shared" si="133"/>
        <v>0-20</v>
      </c>
      <c r="AC237" s="114">
        <f t="shared" si="134"/>
        <v>3844.3574443810608</v>
      </c>
      <c r="AD237" s="129"/>
      <c r="AE237" s="129" t="str">
        <f t="shared" si="138"/>
        <v>0-20</v>
      </c>
      <c r="AF237" s="129">
        <f t="shared" si="139"/>
        <v>3844.3574443810608</v>
      </c>
      <c r="AG237" s="138">
        <v>157</v>
      </c>
      <c r="AH237" s="138" t="str">
        <f t="shared" si="140"/>
        <v>110-130</v>
      </c>
      <c r="AI237" s="138">
        <f t="shared" si="141"/>
        <v>10159.810450732197</v>
      </c>
      <c r="AJ237" s="36"/>
      <c r="AK237" s="36"/>
      <c r="AL237" s="37"/>
      <c r="AM237" s="79"/>
      <c r="AN237" s="79"/>
      <c r="AO237" s="79"/>
      <c r="AP237" s="133"/>
      <c r="AQ237" s="133" t="str">
        <f t="shared" si="135"/>
        <v>0-20</v>
      </c>
      <c r="AR237" s="133">
        <f t="shared" si="136"/>
        <v>3844.3574443810608</v>
      </c>
      <c r="AS237" s="131"/>
      <c r="AT237" s="131"/>
      <c r="AU237" s="4"/>
    </row>
    <row r="238" spans="1:47" s="14" customFormat="1" x14ac:dyDescent="0.25">
      <c r="A238" s="32">
        <v>229</v>
      </c>
      <c r="B238" s="13" t="s">
        <v>21</v>
      </c>
      <c r="C238" s="9" t="s">
        <v>809</v>
      </c>
      <c r="D238" s="10" t="s">
        <v>1064</v>
      </c>
      <c r="E238" s="9" t="s">
        <v>810</v>
      </c>
      <c r="F238" s="34" t="s">
        <v>815</v>
      </c>
      <c r="G238" s="6" t="s">
        <v>816</v>
      </c>
      <c r="H238" s="33">
        <v>421601</v>
      </c>
      <c r="I238" s="90">
        <v>124</v>
      </c>
      <c r="J238" s="91" t="str">
        <f t="shared" si="142"/>
        <v>110-130</v>
      </c>
      <c r="K238" s="91">
        <f t="shared" si="143"/>
        <v>10159.810450732197</v>
      </c>
      <c r="L238" s="35">
        <v>47</v>
      </c>
      <c r="M238" s="35" t="str">
        <f t="shared" si="144"/>
        <v>31-50</v>
      </c>
      <c r="N238" s="36">
        <f t="shared" si="137"/>
        <v>5073.1976040297868</v>
      </c>
      <c r="O238" s="51">
        <v>50</v>
      </c>
      <c r="P238" s="51" t="str">
        <f t="shared" si="128"/>
        <v>31-50</v>
      </c>
      <c r="Q238" s="51">
        <f t="shared" si="124"/>
        <v>5073.1976040297868</v>
      </c>
      <c r="R238" s="49">
        <v>64</v>
      </c>
      <c r="S238" s="49" t="str">
        <f t="shared" si="125"/>
        <v>51-80</v>
      </c>
      <c r="T238" s="49">
        <f t="shared" si="126"/>
        <v>6509</v>
      </c>
      <c r="U238" s="50">
        <v>62</v>
      </c>
      <c r="V238" s="50" t="str">
        <f t="shared" si="129"/>
        <v>51-80</v>
      </c>
      <c r="W238" s="50">
        <f t="shared" si="130"/>
        <v>6509</v>
      </c>
      <c r="X238" s="143" t="s">
        <v>1458</v>
      </c>
      <c r="Y238" s="143" t="e">
        <f t="shared" si="131"/>
        <v>#N/A</v>
      </c>
      <c r="Z238" s="143" t="e">
        <f t="shared" si="132"/>
        <v>#N/A</v>
      </c>
      <c r="AA238" s="116"/>
      <c r="AB238" s="114" t="str">
        <f t="shared" si="133"/>
        <v>0-20</v>
      </c>
      <c r="AC238" s="114">
        <f t="shared" si="134"/>
        <v>3844.3574443810608</v>
      </c>
      <c r="AD238" s="129"/>
      <c r="AE238" s="129" t="str">
        <f t="shared" si="138"/>
        <v>0-20</v>
      </c>
      <c r="AF238" s="129">
        <f t="shared" si="139"/>
        <v>3844.3574443810608</v>
      </c>
      <c r="AG238" s="138">
        <v>61</v>
      </c>
      <c r="AH238" s="138" t="str">
        <f t="shared" si="140"/>
        <v>51-80</v>
      </c>
      <c r="AI238" s="138">
        <f t="shared" si="141"/>
        <v>6509</v>
      </c>
      <c r="AJ238" s="36"/>
      <c r="AK238" s="36"/>
      <c r="AL238" s="37"/>
      <c r="AM238" s="79"/>
      <c r="AN238" s="79"/>
      <c r="AO238" s="79"/>
      <c r="AP238" s="133"/>
      <c r="AQ238" s="133" t="str">
        <f t="shared" si="135"/>
        <v>0-20</v>
      </c>
      <c r="AR238" s="133">
        <f t="shared" si="136"/>
        <v>3844.3574443810608</v>
      </c>
      <c r="AS238" s="131"/>
      <c r="AT238" s="131"/>
      <c r="AU238" s="4"/>
    </row>
    <row r="239" spans="1:47" s="14" customFormat="1" x14ac:dyDescent="0.25">
      <c r="A239" s="32">
        <v>230</v>
      </c>
      <c r="B239" s="13" t="s">
        <v>21</v>
      </c>
      <c r="C239" s="9" t="s">
        <v>811</v>
      </c>
      <c r="D239" s="10" t="s">
        <v>1065</v>
      </c>
      <c r="E239" s="9" t="s">
        <v>812</v>
      </c>
      <c r="F239" s="34" t="s">
        <v>818</v>
      </c>
      <c r="G239" s="6" t="s">
        <v>817</v>
      </c>
      <c r="H239" s="33">
        <v>400607</v>
      </c>
      <c r="I239" s="90">
        <v>48</v>
      </c>
      <c r="J239" s="91" t="str">
        <f t="shared" si="142"/>
        <v>31-50</v>
      </c>
      <c r="K239" s="91">
        <f t="shared" si="143"/>
        <v>5073.1976040297868</v>
      </c>
      <c r="L239" s="35">
        <v>70</v>
      </c>
      <c r="M239" s="35" t="str">
        <f t="shared" si="144"/>
        <v>51-80</v>
      </c>
      <c r="N239" s="36">
        <f t="shared" si="137"/>
        <v>6509</v>
      </c>
      <c r="O239" s="51">
        <v>123</v>
      </c>
      <c r="P239" s="51" t="str">
        <f t="shared" si="128"/>
        <v>110-130</v>
      </c>
      <c r="Q239" s="51">
        <f t="shared" si="124"/>
        <v>10159.810450732197</v>
      </c>
      <c r="R239" s="49">
        <v>89</v>
      </c>
      <c r="S239" s="49" t="str">
        <f t="shared" si="125"/>
        <v>81-110</v>
      </c>
      <c r="T239" s="49">
        <f t="shared" si="126"/>
        <v>8747.8561594387575</v>
      </c>
      <c r="U239" s="50">
        <v>79</v>
      </c>
      <c r="V239" s="50" t="str">
        <f t="shared" si="129"/>
        <v>51-80</v>
      </c>
      <c r="W239" s="50">
        <f t="shared" si="130"/>
        <v>6509</v>
      </c>
      <c r="X239" s="143" t="s">
        <v>1458</v>
      </c>
      <c r="Y239" s="143" t="e">
        <f t="shared" si="131"/>
        <v>#N/A</v>
      </c>
      <c r="Z239" s="143" t="e">
        <f t="shared" si="132"/>
        <v>#N/A</v>
      </c>
      <c r="AA239" s="116"/>
      <c r="AB239" s="114" t="str">
        <f t="shared" si="133"/>
        <v>0-20</v>
      </c>
      <c r="AC239" s="114">
        <f t="shared" si="134"/>
        <v>3844.3574443810608</v>
      </c>
      <c r="AD239" s="129"/>
      <c r="AE239" s="129" t="str">
        <f t="shared" si="138"/>
        <v>0-20</v>
      </c>
      <c r="AF239" s="129">
        <f t="shared" si="139"/>
        <v>3844.3574443810608</v>
      </c>
      <c r="AG239" s="138">
        <v>85</v>
      </c>
      <c r="AH239" s="138" t="str">
        <f t="shared" si="140"/>
        <v>81-110</v>
      </c>
      <c r="AI239" s="138">
        <f t="shared" si="141"/>
        <v>8747.8561594387575</v>
      </c>
      <c r="AJ239" s="36"/>
      <c r="AK239" s="36"/>
      <c r="AL239" s="37"/>
      <c r="AM239" s="79"/>
      <c r="AN239" s="79"/>
      <c r="AO239" s="79"/>
      <c r="AP239" s="133"/>
      <c r="AQ239" s="133" t="str">
        <f t="shared" si="135"/>
        <v>0-20</v>
      </c>
      <c r="AR239" s="133">
        <f t="shared" si="136"/>
        <v>3844.3574443810608</v>
      </c>
      <c r="AS239" s="131"/>
      <c r="AT239" s="131"/>
      <c r="AU239" s="4"/>
    </row>
    <row r="240" spans="1:47" s="14" customFormat="1" x14ac:dyDescent="0.25">
      <c r="A240" s="32">
        <v>231</v>
      </c>
      <c r="B240" s="13" t="s">
        <v>21</v>
      </c>
      <c r="C240" s="9" t="s">
        <v>819</v>
      </c>
      <c r="D240" s="10" t="s">
        <v>1066</v>
      </c>
      <c r="E240" s="9" t="s">
        <v>820</v>
      </c>
      <c r="F240" s="34" t="s">
        <v>821</v>
      </c>
      <c r="G240" s="6" t="s">
        <v>822</v>
      </c>
      <c r="H240" s="33">
        <v>421301</v>
      </c>
      <c r="I240" s="90">
        <v>99</v>
      </c>
      <c r="J240" s="91" t="str">
        <f t="shared" si="142"/>
        <v>81-110</v>
      </c>
      <c r="K240" s="91">
        <f t="shared" si="143"/>
        <v>8747.8561594387575</v>
      </c>
      <c r="L240" s="99">
        <v>23</v>
      </c>
      <c r="M240" s="99" t="str">
        <f t="shared" si="144"/>
        <v>21-30</v>
      </c>
      <c r="N240" s="100">
        <f t="shared" ref="N240:N271" si="145">VLOOKUP(M240,$AW$3:$AX$9,2,0)</f>
        <v>4508.6394748902885</v>
      </c>
      <c r="O240" s="51">
        <v>42</v>
      </c>
      <c r="P240" s="51" t="str">
        <f t="shared" si="128"/>
        <v>31-50</v>
      </c>
      <c r="Q240" s="51">
        <f t="shared" si="124"/>
        <v>5073.1976040297868</v>
      </c>
      <c r="R240" s="49">
        <v>49</v>
      </c>
      <c r="S240" s="49" t="str">
        <f t="shared" si="125"/>
        <v>31-50</v>
      </c>
      <c r="T240" s="49">
        <f t="shared" si="126"/>
        <v>5073.1976040297868</v>
      </c>
      <c r="U240" s="50">
        <v>39</v>
      </c>
      <c r="V240" s="50" t="str">
        <f t="shared" si="129"/>
        <v>31-50</v>
      </c>
      <c r="W240" s="50">
        <f t="shared" si="130"/>
        <v>5073.1976040297868</v>
      </c>
      <c r="X240" s="143" t="s">
        <v>1458</v>
      </c>
      <c r="Y240" s="143" t="e">
        <f t="shared" si="131"/>
        <v>#N/A</v>
      </c>
      <c r="Z240" s="143" t="e">
        <f t="shared" si="132"/>
        <v>#N/A</v>
      </c>
      <c r="AA240" s="116"/>
      <c r="AB240" s="114" t="str">
        <f t="shared" si="133"/>
        <v>0-20</v>
      </c>
      <c r="AC240" s="114">
        <f t="shared" si="134"/>
        <v>3844.3574443810608</v>
      </c>
      <c r="AD240" s="129"/>
      <c r="AE240" s="129" t="str">
        <f t="shared" si="138"/>
        <v>0-20</v>
      </c>
      <c r="AF240" s="129">
        <f t="shared" si="139"/>
        <v>3844.3574443810608</v>
      </c>
      <c r="AG240" s="138">
        <v>80</v>
      </c>
      <c r="AH240" s="138" t="str">
        <f t="shared" si="140"/>
        <v>51-80</v>
      </c>
      <c r="AI240" s="138">
        <f t="shared" si="141"/>
        <v>6509</v>
      </c>
      <c r="AJ240" s="36"/>
      <c r="AK240" s="36"/>
      <c r="AL240" s="37"/>
      <c r="AM240" s="79"/>
      <c r="AN240" s="79"/>
      <c r="AO240" s="79"/>
      <c r="AP240" s="133"/>
      <c r="AQ240" s="133" t="str">
        <f t="shared" si="135"/>
        <v>0-20</v>
      </c>
      <c r="AR240" s="133">
        <f t="shared" si="136"/>
        <v>3844.3574443810608</v>
      </c>
      <c r="AS240" s="131"/>
      <c r="AT240" s="131"/>
      <c r="AU240" s="4"/>
    </row>
    <row r="241" spans="1:47" s="14" customFormat="1" x14ac:dyDescent="0.25">
      <c r="A241" s="32">
        <v>232</v>
      </c>
      <c r="B241" s="13" t="s">
        <v>21</v>
      </c>
      <c r="C241" s="9" t="s">
        <v>740</v>
      </c>
      <c r="D241" s="10" t="s">
        <v>1047</v>
      </c>
      <c r="E241" s="9" t="s">
        <v>741</v>
      </c>
      <c r="F241" s="34" t="s">
        <v>823</v>
      </c>
      <c r="G241" s="6" t="s">
        <v>824</v>
      </c>
      <c r="H241" s="33">
        <v>402209</v>
      </c>
      <c r="I241" s="90">
        <v>90</v>
      </c>
      <c r="J241" s="91" t="str">
        <f t="shared" si="142"/>
        <v>81-110</v>
      </c>
      <c r="K241" s="91">
        <f t="shared" si="143"/>
        <v>8747.8561594387575</v>
      </c>
      <c r="L241" s="99">
        <v>98</v>
      </c>
      <c r="M241" s="99" t="str">
        <f t="shared" si="144"/>
        <v>81-110</v>
      </c>
      <c r="N241" s="100">
        <f t="shared" si="145"/>
        <v>8747.8561594387575</v>
      </c>
      <c r="O241" s="51">
        <v>133</v>
      </c>
      <c r="P241" s="51" t="str">
        <f t="shared" si="128"/>
        <v>110-130</v>
      </c>
      <c r="Q241" s="51">
        <f t="shared" si="124"/>
        <v>10159.810450732197</v>
      </c>
      <c r="R241" s="49">
        <v>107</v>
      </c>
      <c r="S241" s="49" t="str">
        <f t="shared" si="125"/>
        <v>81-110</v>
      </c>
      <c r="T241" s="49">
        <f t="shared" si="126"/>
        <v>8747.8561594387575</v>
      </c>
      <c r="U241" s="50">
        <v>96</v>
      </c>
      <c r="V241" s="50" t="str">
        <f t="shared" si="129"/>
        <v>81-110</v>
      </c>
      <c r="W241" s="50">
        <f t="shared" si="130"/>
        <v>8747.8561594387575</v>
      </c>
      <c r="X241" s="143" t="s">
        <v>1458</v>
      </c>
      <c r="Y241" s="143" t="e">
        <f t="shared" si="131"/>
        <v>#N/A</v>
      </c>
      <c r="Z241" s="143" t="e">
        <f t="shared" si="132"/>
        <v>#N/A</v>
      </c>
      <c r="AA241" s="116"/>
      <c r="AB241" s="114" t="str">
        <f t="shared" si="133"/>
        <v>0-20</v>
      </c>
      <c r="AC241" s="114">
        <f t="shared" si="134"/>
        <v>3844.3574443810608</v>
      </c>
      <c r="AD241" s="129"/>
      <c r="AE241" s="129" t="str">
        <f t="shared" si="138"/>
        <v>0-20</v>
      </c>
      <c r="AF241" s="129">
        <f t="shared" si="139"/>
        <v>3844.3574443810608</v>
      </c>
      <c r="AG241" s="138">
        <v>185</v>
      </c>
      <c r="AH241" s="138" t="str">
        <f t="shared" si="140"/>
        <v>110-130</v>
      </c>
      <c r="AI241" s="138">
        <f t="shared" si="141"/>
        <v>10159.810450732197</v>
      </c>
      <c r="AJ241" s="36"/>
      <c r="AK241" s="36"/>
      <c r="AL241" s="37"/>
      <c r="AM241" s="79"/>
      <c r="AN241" s="79"/>
      <c r="AO241" s="79"/>
      <c r="AP241" s="133"/>
      <c r="AQ241" s="133" t="str">
        <f t="shared" si="135"/>
        <v>0-20</v>
      </c>
      <c r="AR241" s="133">
        <f t="shared" si="136"/>
        <v>3844.3574443810608</v>
      </c>
      <c r="AS241" s="131"/>
      <c r="AT241" s="131"/>
      <c r="AU241" s="4"/>
    </row>
    <row r="242" spans="1:47" s="14" customFormat="1" x14ac:dyDescent="0.25">
      <c r="A242" s="32">
        <v>233</v>
      </c>
      <c r="B242" s="13" t="s">
        <v>21</v>
      </c>
      <c r="C242" s="9" t="s">
        <v>809</v>
      </c>
      <c r="D242" s="10" t="s">
        <v>1064</v>
      </c>
      <c r="E242" s="9" t="s">
        <v>810</v>
      </c>
      <c r="F242" s="34" t="s">
        <v>826</v>
      </c>
      <c r="G242" s="6" t="s">
        <v>825</v>
      </c>
      <c r="H242" s="33">
        <v>421601</v>
      </c>
      <c r="I242" s="90">
        <v>124</v>
      </c>
      <c r="J242" s="91" t="str">
        <f t="shared" si="142"/>
        <v>110-130</v>
      </c>
      <c r="K242" s="91">
        <f t="shared" si="143"/>
        <v>10159.810450732197</v>
      </c>
      <c r="L242" s="99">
        <v>47</v>
      </c>
      <c r="M242" s="99" t="str">
        <f t="shared" si="144"/>
        <v>31-50</v>
      </c>
      <c r="N242" s="100">
        <f t="shared" si="145"/>
        <v>5073.1976040297868</v>
      </c>
      <c r="O242" s="51">
        <v>50</v>
      </c>
      <c r="P242" s="51" t="str">
        <f t="shared" si="128"/>
        <v>31-50</v>
      </c>
      <c r="Q242" s="51">
        <f t="shared" si="124"/>
        <v>5073.1976040297868</v>
      </c>
      <c r="R242" s="49">
        <v>64</v>
      </c>
      <c r="S242" s="49" t="str">
        <f t="shared" si="125"/>
        <v>51-80</v>
      </c>
      <c r="T242" s="49">
        <f t="shared" si="126"/>
        <v>6509</v>
      </c>
      <c r="U242" s="50">
        <v>62</v>
      </c>
      <c r="V242" s="50" t="str">
        <f t="shared" si="129"/>
        <v>51-80</v>
      </c>
      <c r="W242" s="50">
        <f t="shared" si="130"/>
        <v>6509</v>
      </c>
      <c r="X242" s="143" t="s">
        <v>1458</v>
      </c>
      <c r="Y242" s="143" t="e">
        <f t="shared" si="131"/>
        <v>#N/A</v>
      </c>
      <c r="Z242" s="143" t="e">
        <f t="shared" si="132"/>
        <v>#N/A</v>
      </c>
      <c r="AA242" s="116"/>
      <c r="AB242" s="114" t="str">
        <f t="shared" si="133"/>
        <v>0-20</v>
      </c>
      <c r="AC242" s="114">
        <f t="shared" si="134"/>
        <v>3844.3574443810608</v>
      </c>
      <c r="AD242" s="129"/>
      <c r="AE242" s="129" t="str">
        <f t="shared" si="138"/>
        <v>0-20</v>
      </c>
      <c r="AF242" s="129">
        <f t="shared" si="139"/>
        <v>3844.3574443810608</v>
      </c>
      <c r="AG242" s="138">
        <v>61</v>
      </c>
      <c r="AH242" s="138" t="str">
        <f t="shared" si="140"/>
        <v>51-80</v>
      </c>
      <c r="AI242" s="138">
        <f t="shared" si="141"/>
        <v>6509</v>
      </c>
      <c r="AJ242" s="36"/>
      <c r="AK242" s="36"/>
      <c r="AL242" s="37"/>
      <c r="AM242" s="79"/>
      <c r="AN242" s="79"/>
      <c r="AO242" s="79"/>
      <c r="AP242" s="133"/>
      <c r="AQ242" s="133" t="str">
        <f t="shared" si="135"/>
        <v>0-20</v>
      </c>
      <c r="AR242" s="133">
        <f t="shared" si="136"/>
        <v>3844.3574443810608</v>
      </c>
      <c r="AS242" s="131"/>
      <c r="AT242" s="131"/>
      <c r="AU242" s="4"/>
    </row>
    <row r="243" spans="1:47" s="14" customFormat="1" x14ac:dyDescent="0.25">
      <c r="A243" s="32">
        <v>234</v>
      </c>
      <c r="B243" s="13" t="s">
        <v>21</v>
      </c>
      <c r="C243" s="9" t="s">
        <v>827</v>
      </c>
      <c r="D243" s="10" t="s">
        <v>1067</v>
      </c>
      <c r="E243" s="9" t="s">
        <v>828</v>
      </c>
      <c r="F243" s="34" t="s">
        <v>829</v>
      </c>
      <c r="G243" s="6" t="s">
        <v>830</v>
      </c>
      <c r="H243" s="33">
        <v>400614</v>
      </c>
      <c r="I243" s="90">
        <v>76</v>
      </c>
      <c r="J243" s="91" t="str">
        <f t="shared" si="142"/>
        <v>51-80</v>
      </c>
      <c r="K243" s="91">
        <f t="shared" si="143"/>
        <v>6509</v>
      </c>
      <c r="L243" s="99">
        <v>29</v>
      </c>
      <c r="M243" s="99" t="str">
        <f t="shared" si="144"/>
        <v>21-30</v>
      </c>
      <c r="N243" s="100">
        <f t="shared" si="145"/>
        <v>4508.6394748902885</v>
      </c>
      <c r="O243" s="51">
        <v>70</v>
      </c>
      <c r="P243" s="51" t="str">
        <f t="shared" si="128"/>
        <v>51-80</v>
      </c>
      <c r="Q243" s="51">
        <f t="shared" si="124"/>
        <v>6509</v>
      </c>
      <c r="R243" s="49">
        <v>34</v>
      </c>
      <c r="S243" s="49" t="str">
        <f t="shared" si="125"/>
        <v>31-50</v>
      </c>
      <c r="T243" s="49">
        <f t="shared" si="126"/>
        <v>5073.1976040297868</v>
      </c>
      <c r="U243" s="50">
        <v>23</v>
      </c>
      <c r="V243" s="50" t="str">
        <f t="shared" si="129"/>
        <v>21-30</v>
      </c>
      <c r="W243" s="50">
        <f t="shared" si="130"/>
        <v>4508.6394748902885</v>
      </c>
      <c r="X243" s="143" t="s">
        <v>1458</v>
      </c>
      <c r="Y243" s="143" t="e">
        <f t="shared" si="131"/>
        <v>#N/A</v>
      </c>
      <c r="Z243" s="143" t="e">
        <f t="shared" si="132"/>
        <v>#N/A</v>
      </c>
      <c r="AA243" s="116"/>
      <c r="AB243" s="114" t="str">
        <f t="shared" si="133"/>
        <v>0-20</v>
      </c>
      <c r="AC243" s="114">
        <f t="shared" si="134"/>
        <v>3844.3574443810608</v>
      </c>
      <c r="AD243" s="129"/>
      <c r="AE243" s="129" t="str">
        <f t="shared" si="138"/>
        <v>0-20</v>
      </c>
      <c r="AF243" s="129">
        <f t="shared" si="139"/>
        <v>3844.3574443810608</v>
      </c>
      <c r="AG243" s="138">
        <v>110</v>
      </c>
      <c r="AH243" s="138" t="str">
        <f t="shared" si="140"/>
        <v>110-130</v>
      </c>
      <c r="AI243" s="138">
        <f t="shared" si="141"/>
        <v>10159.810450732197</v>
      </c>
      <c r="AJ243" s="36"/>
      <c r="AK243" s="36"/>
      <c r="AL243" s="37"/>
      <c r="AM243" s="79"/>
      <c r="AN243" s="79"/>
      <c r="AO243" s="79"/>
      <c r="AP243" s="133"/>
      <c r="AQ243" s="133" t="str">
        <f t="shared" si="135"/>
        <v>0-20</v>
      </c>
      <c r="AR243" s="133">
        <f t="shared" si="136"/>
        <v>3844.3574443810608</v>
      </c>
      <c r="AS243" s="131"/>
      <c r="AT243" s="131"/>
      <c r="AU243" s="4"/>
    </row>
    <row r="244" spans="1:47" s="14" customFormat="1" x14ac:dyDescent="0.25">
      <c r="A244" s="32">
        <v>235</v>
      </c>
      <c r="B244" s="13" t="s">
        <v>21</v>
      </c>
      <c r="C244" s="9" t="s">
        <v>831</v>
      </c>
      <c r="D244" s="10" t="s">
        <v>1068</v>
      </c>
      <c r="E244" s="9" t="s">
        <v>832</v>
      </c>
      <c r="F244" s="34" t="s">
        <v>833</v>
      </c>
      <c r="G244" s="6" t="s">
        <v>834</v>
      </c>
      <c r="H244" s="33">
        <v>400702</v>
      </c>
      <c r="I244" s="90">
        <v>87</v>
      </c>
      <c r="J244" s="91" t="str">
        <f t="shared" si="142"/>
        <v>81-110</v>
      </c>
      <c r="K244" s="91">
        <f t="shared" si="143"/>
        <v>8747.8561594387575</v>
      </c>
      <c r="L244" s="99">
        <v>50</v>
      </c>
      <c r="M244" s="99" t="str">
        <f t="shared" si="144"/>
        <v>31-50</v>
      </c>
      <c r="N244" s="100">
        <f t="shared" si="145"/>
        <v>5073.1976040297868</v>
      </c>
      <c r="O244" s="51">
        <v>92</v>
      </c>
      <c r="P244" s="51" t="str">
        <f t="shared" si="128"/>
        <v>81-110</v>
      </c>
      <c r="Q244" s="51">
        <f t="shared" si="124"/>
        <v>8747.8561594387575</v>
      </c>
      <c r="R244" s="49">
        <v>57</v>
      </c>
      <c r="S244" s="49" t="str">
        <f t="shared" si="125"/>
        <v>51-80</v>
      </c>
      <c r="T244" s="49">
        <f t="shared" si="126"/>
        <v>6509</v>
      </c>
      <c r="U244" s="50">
        <v>46</v>
      </c>
      <c r="V244" s="50" t="str">
        <f t="shared" si="129"/>
        <v>31-50</v>
      </c>
      <c r="W244" s="50">
        <f t="shared" si="130"/>
        <v>5073.1976040297868</v>
      </c>
      <c r="X244" s="143" t="s">
        <v>1458</v>
      </c>
      <c r="Y244" s="143" t="e">
        <f t="shared" si="131"/>
        <v>#N/A</v>
      </c>
      <c r="Z244" s="143" t="e">
        <f t="shared" si="132"/>
        <v>#N/A</v>
      </c>
      <c r="AA244" s="116"/>
      <c r="AB244" s="114" t="str">
        <f t="shared" si="133"/>
        <v>0-20</v>
      </c>
      <c r="AC244" s="114">
        <f t="shared" si="134"/>
        <v>3844.3574443810608</v>
      </c>
      <c r="AD244" s="129"/>
      <c r="AE244" s="129" t="str">
        <f t="shared" si="138"/>
        <v>0-20</v>
      </c>
      <c r="AF244" s="129">
        <f t="shared" si="139"/>
        <v>3844.3574443810608</v>
      </c>
      <c r="AG244" s="138">
        <v>130</v>
      </c>
      <c r="AH244" s="138" t="str">
        <f t="shared" si="140"/>
        <v>110-130</v>
      </c>
      <c r="AI244" s="138">
        <f t="shared" si="141"/>
        <v>10159.810450732197</v>
      </c>
      <c r="AJ244" s="36"/>
      <c r="AK244" s="36"/>
      <c r="AL244" s="37"/>
      <c r="AM244" s="79"/>
      <c r="AN244" s="79"/>
      <c r="AO244" s="79"/>
      <c r="AP244" s="133"/>
      <c r="AQ244" s="133" t="str">
        <f t="shared" si="135"/>
        <v>0-20</v>
      </c>
      <c r="AR244" s="133">
        <f t="shared" si="136"/>
        <v>3844.3574443810608</v>
      </c>
      <c r="AS244" s="131"/>
      <c r="AT244" s="131"/>
      <c r="AU244" s="4"/>
    </row>
    <row r="245" spans="1:47" s="14" customFormat="1" x14ac:dyDescent="0.25">
      <c r="A245" s="32">
        <v>236</v>
      </c>
      <c r="B245" s="13" t="s">
        <v>21</v>
      </c>
      <c r="C245" s="9" t="s">
        <v>837</v>
      </c>
      <c r="D245" s="10" t="s">
        <v>1069</v>
      </c>
      <c r="E245" s="9" t="s">
        <v>838</v>
      </c>
      <c r="F245" s="34" t="s">
        <v>839</v>
      </c>
      <c r="G245" s="6" t="s">
        <v>840</v>
      </c>
      <c r="H245" s="33">
        <v>401201</v>
      </c>
      <c r="I245" s="90">
        <v>155</v>
      </c>
      <c r="J245" s="91" t="str">
        <f t="shared" si="142"/>
        <v>110-130</v>
      </c>
      <c r="K245" s="91">
        <f t="shared" si="143"/>
        <v>10159.810450732197</v>
      </c>
      <c r="L245" s="35">
        <v>58</v>
      </c>
      <c r="M245" s="35" t="str">
        <f t="shared" si="144"/>
        <v>51-80</v>
      </c>
      <c r="N245" s="36">
        <f t="shared" si="145"/>
        <v>6509</v>
      </c>
      <c r="O245" s="51">
        <v>20</v>
      </c>
      <c r="P245" s="51" t="str">
        <f t="shared" si="128"/>
        <v>0-20</v>
      </c>
      <c r="Q245" s="51">
        <f t="shared" si="124"/>
        <v>3844.3574443810608</v>
      </c>
      <c r="R245" s="49">
        <v>62</v>
      </c>
      <c r="S245" s="49" t="str">
        <f t="shared" si="125"/>
        <v>51-80</v>
      </c>
      <c r="T245" s="49">
        <f t="shared" si="126"/>
        <v>6509</v>
      </c>
      <c r="U245" s="50">
        <v>76</v>
      </c>
      <c r="V245" s="50" t="str">
        <f t="shared" si="129"/>
        <v>51-80</v>
      </c>
      <c r="W245" s="50">
        <f t="shared" si="130"/>
        <v>6509</v>
      </c>
      <c r="X245" s="143" t="s">
        <v>1458</v>
      </c>
      <c r="Y245" s="143" t="e">
        <f t="shared" si="131"/>
        <v>#N/A</v>
      </c>
      <c r="Z245" s="143" t="e">
        <f t="shared" si="132"/>
        <v>#N/A</v>
      </c>
      <c r="AA245" s="116"/>
      <c r="AB245" s="114" t="str">
        <f t="shared" si="133"/>
        <v>0-20</v>
      </c>
      <c r="AC245" s="114">
        <f t="shared" si="134"/>
        <v>3844.3574443810608</v>
      </c>
      <c r="AD245" s="129"/>
      <c r="AE245" s="129" t="str">
        <f t="shared" si="138"/>
        <v>0-20</v>
      </c>
      <c r="AF245" s="129">
        <f t="shared" si="139"/>
        <v>3844.3574443810608</v>
      </c>
      <c r="AG245" s="138">
        <v>57</v>
      </c>
      <c r="AH245" s="138" t="str">
        <f t="shared" si="140"/>
        <v>51-80</v>
      </c>
      <c r="AI245" s="138">
        <f t="shared" si="141"/>
        <v>6509</v>
      </c>
      <c r="AJ245" s="36"/>
      <c r="AK245" s="36"/>
      <c r="AL245" s="37"/>
      <c r="AM245" s="79"/>
      <c r="AN245" s="79"/>
      <c r="AO245" s="79"/>
      <c r="AP245" s="133"/>
      <c r="AQ245" s="133" t="str">
        <f t="shared" si="135"/>
        <v>0-20</v>
      </c>
      <c r="AR245" s="133">
        <f t="shared" si="136"/>
        <v>3844.3574443810608</v>
      </c>
      <c r="AS245" s="131"/>
      <c r="AT245" s="131"/>
      <c r="AU245" s="4"/>
    </row>
    <row r="246" spans="1:47" s="14" customFormat="1" x14ac:dyDescent="0.25">
      <c r="A246" s="32">
        <v>237</v>
      </c>
      <c r="B246" s="13" t="s">
        <v>21</v>
      </c>
      <c r="C246" s="9" t="s">
        <v>841</v>
      </c>
      <c r="D246" s="10" t="s">
        <v>1070</v>
      </c>
      <c r="E246" s="9" t="s">
        <v>842</v>
      </c>
      <c r="F246" s="34" t="s">
        <v>843</v>
      </c>
      <c r="G246" s="6" t="s">
        <v>844</v>
      </c>
      <c r="H246" s="33">
        <v>400709</v>
      </c>
      <c r="I246" s="90">
        <v>87</v>
      </c>
      <c r="J246" s="91" t="str">
        <f t="shared" si="142"/>
        <v>81-110</v>
      </c>
      <c r="K246" s="91">
        <f t="shared" si="143"/>
        <v>8747.8561594387575</v>
      </c>
      <c r="L246" s="99">
        <v>18</v>
      </c>
      <c r="M246" s="99" t="str">
        <f t="shared" si="144"/>
        <v>0-20</v>
      </c>
      <c r="N246" s="100">
        <f t="shared" si="145"/>
        <v>3844.3574443810608</v>
      </c>
      <c r="O246" s="51">
        <v>55</v>
      </c>
      <c r="P246" s="51" t="str">
        <f t="shared" si="128"/>
        <v>51-80</v>
      </c>
      <c r="Q246" s="51">
        <f t="shared" si="124"/>
        <v>6509</v>
      </c>
      <c r="R246" s="49">
        <v>26</v>
      </c>
      <c r="S246" s="49" t="str">
        <f t="shared" si="125"/>
        <v>21-30</v>
      </c>
      <c r="T246" s="49">
        <f t="shared" si="126"/>
        <v>4508.6394748902885</v>
      </c>
      <c r="U246" s="50">
        <v>23</v>
      </c>
      <c r="V246" s="50" t="str">
        <f t="shared" si="129"/>
        <v>21-30</v>
      </c>
      <c r="W246" s="50">
        <f t="shared" si="130"/>
        <v>4508.6394748902885</v>
      </c>
      <c r="X246" s="143" t="s">
        <v>1458</v>
      </c>
      <c r="Y246" s="143" t="e">
        <f t="shared" si="131"/>
        <v>#N/A</v>
      </c>
      <c r="Z246" s="143" t="e">
        <f t="shared" si="132"/>
        <v>#N/A</v>
      </c>
      <c r="AA246" s="116"/>
      <c r="AB246" s="114" t="str">
        <f t="shared" si="133"/>
        <v>0-20</v>
      </c>
      <c r="AC246" s="114">
        <f t="shared" si="134"/>
        <v>3844.3574443810608</v>
      </c>
      <c r="AD246" s="129"/>
      <c r="AE246" s="129" t="str">
        <f t="shared" si="138"/>
        <v>0-20</v>
      </c>
      <c r="AF246" s="129">
        <f t="shared" si="139"/>
        <v>3844.3574443810608</v>
      </c>
      <c r="AG246" s="138">
        <v>100</v>
      </c>
      <c r="AH246" s="138" t="str">
        <f t="shared" si="140"/>
        <v>81-110</v>
      </c>
      <c r="AI246" s="138">
        <f t="shared" si="141"/>
        <v>8747.8561594387575</v>
      </c>
      <c r="AJ246" s="36"/>
      <c r="AK246" s="36"/>
      <c r="AL246" s="37"/>
      <c r="AM246" s="79"/>
      <c r="AN246" s="79"/>
      <c r="AO246" s="79"/>
      <c r="AP246" s="133"/>
      <c r="AQ246" s="133" t="str">
        <f t="shared" si="135"/>
        <v>0-20</v>
      </c>
      <c r="AR246" s="133">
        <f t="shared" si="136"/>
        <v>3844.3574443810608</v>
      </c>
      <c r="AS246" s="131"/>
      <c r="AT246" s="131"/>
      <c r="AU246" s="4"/>
    </row>
    <row r="247" spans="1:47" s="14" customFormat="1" x14ac:dyDescent="0.25">
      <c r="A247" s="32">
        <v>238</v>
      </c>
      <c r="B247" s="13" t="s">
        <v>21</v>
      </c>
      <c r="C247" s="9" t="s">
        <v>845</v>
      </c>
      <c r="D247" s="10" t="s">
        <v>1071</v>
      </c>
      <c r="E247" s="9" t="s">
        <v>846</v>
      </c>
      <c r="F247" s="34" t="s">
        <v>847</v>
      </c>
      <c r="G247" s="6" t="s">
        <v>171</v>
      </c>
      <c r="H247" s="33">
        <v>421204</v>
      </c>
      <c r="I247" s="35">
        <v>88</v>
      </c>
      <c r="J247" s="91" t="str">
        <f t="shared" si="142"/>
        <v>81-110</v>
      </c>
      <c r="K247" s="91">
        <f t="shared" si="143"/>
        <v>8747.8561594387575</v>
      </c>
      <c r="L247" s="99">
        <v>28</v>
      </c>
      <c r="M247" s="99" t="str">
        <f t="shared" si="144"/>
        <v>21-30</v>
      </c>
      <c r="N247" s="100">
        <f t="shared" si="145"/>
        <v>4508.6394748902885</v>
      </c>
      <c r="O247" s="51">
        <v>63</v>
      </c>
      <c r="P247" s="51" t="str">
        <f t="shared" si="128"/>
        <v>51-80</v>
      </c>
      <c r="Q247" s="51">
        <f t="shared" si="124"/>
        <v>6509</v>
      </c>
      <c r="R247" s="49">
        <v>39</v>
      </c>
      <c r="S247" s="49" t="str">
        <f t="shared" si="125"/>
        <v>31-50</v>
      </c>
      <c r="T247" s="49">
        <f t="shared" si="126"/>
        <v>5073.1976040297868</v>
      </c>
      <c r="U247" s="50">
        <v>36</v>
      </c>
      <c r="V247" s="50" t="str">
        <f t="shared" si="129"/>
        <v>31-50</v>
      </c>
      <c r="W247" s="50">
        <f t="shared" si="130"/>
        <v>5073.1976040297868</v>
      </c>
      <c r="X247" s="143">
        <v>33</v>
      </c>
      <c r="Y247" s="143" t="str">
        <f t="shared" si="131"/>
        <v>31-50</v>
      </c>
      <c r="Z247" s="143">
        <f t="shared" si="132"/>
        <v>5073.1976040297868</v>
      </c>
      <c r="AA247" s="116"/>
      <c r="AB247" s="114" t="str">
        <f t="shared" si="133"/>
        <v>0-20</v>
      </c>
      <c r="AC247" s="114">
        <f t="shared" si="134"/>
        <v>3844.3574443810608</v>
      </c>
      <c r="AD247" s="129"/>
      <c r="AE247" s="129" t="str">
        <f t="shared" si="138"/>
        <v>0-20</v>
      </c>
      <c r="AF247" s="129">
        <f t="shared" si="139"/>
        <v>3844.3574443810608</v>
      </c>
      <c r="AG247" s="138">
        <v>80</v>
      </c>
      <c r="AH247" s="138" t="str">
        <f t="shared" si="140"/>
        <v>51-80</v>
      </c>
      <c r="AI247" s="138">
        <f t="shared" si="141"/>
        <v>6509</v>
      </c>
      <c r="AJ247" s="36"/>
      <c r="AK247" s="36"/>
      <c r="AL247" s="37"/>
      <c r="AM247" s="79"/>
      <c r="AN247" s="79"/>
      <c r="AO247" s="79"/>
      <c r="AP247" s="133"/>
      <c r="AQ247" s="133" t="str">
        <f t="shared" si="135"/>
        <v>0-20</v>
      </c>
      <c r="AR247" s="133">
        <f t="shared" si="136"/>
        <v>3844.3574443810608</v>
      </c>
      <c r="AS247" s="131"/>
      <c r="AT247" s="131"/>
      <c r="AU247" s="4"/>
    </row>
    <row r="248" spans="1:47" s="14" customFormat="1" x14ac:dyDescent="0.25">
      <c r="A248" s="32">
        <v>239</v>
      </c>
      <c r="B248" s="13" t="s">
        <v>21</v>
      </c>
      <c r="C248" t="s">
        <v>850</v>
      </c>
      <c r="D248" s="10" t="s">
        <v>1072</v>
      </c>
      <c r="E248" t="s">
        <v>851</v>
      </c>
      <c r="F248" s="34" t="s">
        <v>852</v>
      </c>
      <c r="G248" s="6" t="s">
        <v>853</v>
      </c>
      <c r="H248" s="33">
        <v>401107</v>
      </c>
      <c r="I248" s="90">
        <v>120</v>
      </c>
      <c r="J248" s="90" t="str">
        <f t="shared" ref="J248:J292" si="146">VLOOKUP(I248,$AV$4:$AW$9,2,1)</f>
        <v>110-130</v>
      </c>
      <c r="K248" s="91">
        <f t="shared" si="143"/>
        <v>10159.810450732197</v>
      </c>
      <c r="L248" s="99">
        <v>26</v>
      </c>
      <c r="M248" s="99" t="str">
        <f t="shared" si="144"/>
        <v>21-30</v>
      </c>
      <c r="N248" s="100">
        <f t="shared" si="145"/>
        <v>4508.6394748902885</v>
      </c>
      <c r="O248" s="51">
        <v>31</v>
      </c>
      <c r="P248" s="51" t="str">
        <f t="shared" si="128"/>
        <v>31-50</v>
      </c>
      <c r="Q248" s="51">
        <f t="shared" si="124"/>
        <v>5073.1976040297868</v>
      </c>
      <c r="R248" s="49">
        <v>24</v>
      </c>
      <c r="S248" s="49" t="str">
        <f t="shared" si="125"/>
        <v>21-30</v>
      </c>
      <c r="T248" s="49">
        <f t="shared" si="126"/>
        <v>4508.6394748902885</v>
      </c>
      <c r="U248" s="50">
        <v>34</v>
      </c>
      <c r="V248" s="50" t="str">
        <f t="shared" si="129"/>
        <v>31-50</v>
      </c>
      <c r="W248" s="50">
        <f t="shared" si="130"/>
        <v>5073.1976040297868</v>
      </c>
      <c r="X248" s="143" t="s">
        <v>1458</v>
      </c>
      <c r="Y248" s="143" t="e">
        <f t="shared" si="131"/>
        <v>#N/A</v>
      </c>
      <c r="Z248" s="143" t="e">
        <f t="shared" si="132"/>
        <v>#N/A</v>
      </c>
      <c r="AA248" s="116">
        <v>18</v>
      </c>
      <c r="AB248" s="114" t="str">
        <f t="shared" si="133"/>
        <v>0-20</v>
      </c>
      <c r="AC248" s="114">
        <f t="shared" si="134"/>
        <v>3844.3574443810608</v>
      </c>
      <c r="AD248" s="129"/>
      <c r="AE248" s="129" t="str">
        <f t="shared" si="138"/>
        <v>0-20</v>
      </c>
      <c r="AF248" s="129">
        <f t="shared" si="139"/>
        <v>3844.3574443810608</v>
      </c>
      <c r="AG248" s="138">
        <v>72</v>
      </c>
      <c r="AH248" s="138" t="str">
        <f t="shared" si="140"/>
        <v>51-80</v>
      </c>
      <c r="AI248" s="138">
        <f t="shared" si="141"/>
        <v>6509</v>
      </c>
      <c r="AJ248" s="36">
        <v>40</v>
      </c>
      <c r="AK248" s="36" t="str">
        <f>VLOOKUP(AJ248,$AV$3:$AW$9,2,1)</f>
        <v>31-50</v>
      </c>
      <c r="AL248" s="37">
        <f>VLOOKUP(AK248,$AW$3:$AX$9,2,0)</f>
        <v>5073.1976040297868</v>
      </c>
      <c r="AM248" s="37">
        <v>87</v>
      </c>
      <c r="AN248" s="3" t="str">
        <f>VLOOKUP(AM248,$AV$4:$AW$9,2,1)</f>
        <v>81-110</v>
      </c>
      <c r="AO248" s="119">
        <f>VLOOKUP(AN248,$AW$3:$AX$9,2,0)</f>
        <v>8747.8561594387575</v>
      </c>
      <c r="AP248" s="133"/>
      <c r="AQ248" s="133" t="str">
        <f t="shared" si="135"/>
        <v>0-20</v>
      </c>
      <c r="AR248" s="133">
        <f t="shared" si="136"/>
        <v>3844.3574443810608</v>
      </c>
      <c r="AS248" s="131"/>
      <c r="AT248" s="131"/>
      <c r="AU248" s="4"/>
    </row>
    <row r="249" spans="1:47" s="14" customFormat="1" x14ac:dyDescent="0.25">
      <c r="A249" s="32">
        <v>240</v>
      </c>
      <c r="B249" s="13" t="s">
        <v>21</v>
      </c>
      <c r="C249" s="9" t="s">
        <v>854</v>
      </c>
      <c r="D249" s="10" t="s">
        <v>1073</v>
      </c>
      <c r="E249" s="9" t="s">
        <v>855</v>
      </c>
      <c r="F249" s="34" t="s">
        <v>856</v>
      </c>
      <c r="G249" s="6" t="s">
        <v>857</v>
      </c>
      <c r="H249" s="33">
        <v>401209</v>
      </c>
      <c r="I249" s="90">
        <v>139</v>
      </c>
      <c r="J249" s="90" t="str">
        <f t="shared" si="146"/>
        <v>110-130</v>
      </c>
      <c r="K249" s="91">
        <f t="shared" si="143"/>
        <v>10159.810450732197</v>
      </c>
      <c r="L249" s="35">
        <v>45</v>
      </c>
      <c r="M249" s="35" t="str">
        <f t="shared" si="144"/>
        <v>31-50</v>
      </c>
      <c r="N249" s="36">
        <f t="shared" si="145"/>
        <v>5073.1976040297868</v>
      </c>
      <c r="O249" s="51">
        <v>13</v>
      </c>
      <c r="P249" s="51" t="str">
        <f t="shared" si="128"/>
        <v>0-20</v>
      </c>
      <c r="Q249" s="51">
        <f t="shared" si="124"/>
        <v>3844.3574443810608</v>
      </c>
      <c r="R249" s="49">
        <v>43</v>
      </c>
      <c r="S249" s="49" t="str">
        <f t="shared" si="125"/>
        <v>31-50</v>
      </c>
      <c r="T249" s="49">
        <f t="shared" si="126"/>
        <v>5073.1976040297868</v>
      </c>
      <c r="U249" s="50">
        <v>57</v>
      </c>
      <c r="V249" s="50" t="str">
        <f t="shared" si="129"/>
        <v>51-80</v>
      </c>
      <c r="W249" s="50">
        <f t="shared" si="130"/>
        <v>6509</v>
      </c>
      <c r="X249" s="143" t="s">
        <v>1458</v>
      </c>
      <c r="Y249" s="143" t="e">
        <f t="shared" si="131"/>
        <v>#N/A</v>
      </c>
      <c r="Z249" s="143" t="e">
        <f t="shared" si="132"/>
        <v>#N/A</v>
      </c>
      <c r="AA249" s="116"/>
      <c r="AB249" s="114" t="str">
        <f t="shared" si="133"/>
        <v>0-20</v>
      </c>
      <c r="AC249" s="114">
        <f t="shared" si="134"/>
        <v>3844.3574443810608</v>
      </c>
      <c r="AD249" s="129"/>
      <c r="AE249" s="129" t="str">
        <f t="shared" si="138"/>
        <v>0-20</v>
      </c>
      <c r="AF249" s="129">
        <f t="shared" si="139"/>
        <v>3844.3574443810608</v>
      </c>
      <c r="AG249" s="139">
        <v>54</v>
      </c>
      <c r="AH249" s="138" t="str">
        <f t="shared" si="140"/>
        <v>51-80</v>
      </c>
      <c r="AI249" s="138">
        <f t="shared" si="141"/>
        <v>6509</v>
      </c>
      <c r="AJ249" s="36">
        <v>70</v>
      </c>
      <c r="AK249" s="36" t="str">
        <f>VLOOKUP(AJ249,$AV$3:$AW$9,2,1)</f>
        <v>51-80</v>
      </c>
      <c r="AL249" s="37">
        <f>VLOOKUP(AK249,$AW$3:$AX$9,2,0)</f>
        <v>6509</v>
      </c>
      <c r="AM249" s="37">
        <v>106</v>
      </c>
      <c r="AN249" s="3" t="str">
        <f>VLOOKUP(AM249,$AV$4:$AW$9,2,1)</f>
        <v>81-110</v>
      </c>
      <c r="AO249" s="119">
        <f>VLOOKUP(AN249,$AW$3:$AX$9,2,0)</f>
        <v>8747.8561594387575</v>
      </c>
      <c r="AP249" s="133"/>
      <c r="AQ249" s="133" t="str">
        <f t="shared" si="135"/>
        <v>0-20</v>
      </c>
      <c r="AR249" s="133">
        <f t="shared" si="136"/>
        <v>3844.3574443810608</v>
      </c>
      <c r="AS249" s="131"/>
      <c r="AT249" s="131"/>
      <c r="AU249" s="4"/>
    </row>
    <row r="250" spans="1:47" s="14" customFormat="1" x14ac:dyDescent="0.25">
      <c r="A250" s="32">
        <v>241</v>
      </c>
      <c r="B250" s="13" t="s">
        <v>21</v>
      </c>
      <c r="C250" s="9" t="s">
        <v>858</v>
      </c>
      <c r="D250" s="10" t="s">
        <v>1074</v>
      </c>
      <c r="E250" s="9" t="s">
        <v>626</v>
      </c>
      <c r="F250" s="34" t="s">
        <v>859</v>
      </c>
      <c r="G250" s="106" t="s">
        <v>558</v>
      </c>
      <c r="H250" s="33">
        <v>421302</v>
      </c>
      <c r="I250" s="90">
        <v>117</v>
      </c>
      <c r="J250" s="90" t="str">
        <f t="shared" si="146"/>
        <v>110-130</v>
      </c>
      <c r="K250" s="91">
        <f t="shared" si="143"/>
        <v>10159.810450732197</v>
      </c>
      <c r="L250" s="35">
        <v>27</v>
      </c>
      <c r="M250" s="35" t="str">
        <f t="shared" si="144"/>
        <v>21-30</v>
      </c>
      <c r="N250" s="36">
        <f t="shared" si="145"/>
        <v>4508.6394748902885</v>
      </c>
      <c r="O250" s="51">
        <v>40</v>
      </c>
      <c r="P250" s="51" t="str">
        <f t="shared" si="128"/>
        <v>31-50</v>
      </c>
      <c r="Q250" s="51">
        <f t="shared" si="124"/>
        <v>5073.1976040297868</v>
      </c>
      <c r="R250" s="49">
        <v>44</v>
      </c>
      <c r="S250" s="49" t="str">
        <f t="shared" si="125"/>
        <v>31-50</v>
      </c>
      <c r="T250" s="49">
        <f t="shared" si="126"/>
        <v>5073.1976040297868</v>
      </c>
      <c r="U250" s="50">
        <v>34</v>
      </c>
      <c r="V250" s="50" t="str">
        <f t="shared" si="129"/>
        <v>31-50</v>
      </c>
      <c r="W250" s="50">
        <f t="shared" si="130"/>
        <v>5073.1976040297868</v>
      </c>
      <c r="X250" s="143" t="s">
        <v>1458</v>
      </c>
      <c r="Y250" s="143" t="e">
        <f t="shared" si="131"/>
        <v>#N/A</v>
      </c>
      <c r="Z250" s="143" t="e">
        <f t="shared" si="132"/>
        <v>#N/A</v>
      </c>
      <c r="AA250" s="116"/>
      <c r="AB250" s="114" t="str">
        <f t="shared" si="133"/>
        <v>0-20</v>
      </c>
      <c r="AC250" s="114">
        <f t="shared" si="134"/>
        <v>3844.3574443810608</v>
      </c>
      <c r="AD250" s="129"/>
      <c r="AE250" s="129" t="str">
        <f t="shared" si="138"/>
        <v>0-20</v>
      </c>
      <c r="AF250" s="129">
        <f t="shared" si="139"/>
        <v>3844.3574443810608</v>
      </c>
      <c r="AG250" s="138">
        <v>75</v>
      </c>
      <c r="AH250" s="138" t="str">
        <f t="shared" si="140"/>
        <v>51-80</v>
      </c>
      <c r="AI250" s="138">
        <f t="shared" si="141"/>
        <v>6509</v>
      </c>
      <c r="AJ250" s="36"/>
      <c r="AK250" s="36"/>
      <c r="AL250" s="37"/>
      <c r="AM250" s="79"/>
      <c r="AN250" s="102"/>
      <c r="AO250" s="102"/>
      <c r="AP250" s="133"/>
      <c r="AQ250" s="133" t="str">
        <f t="shared" si="135"/>
        <v>0-20</v>
      </c>
      <c r="AR250" s="133">
        <f t="shared" si="136"/>
        <v>3844.3574443810608</v>
      </c>
      <c r="AS250" s="131"/>
      <c r="AT250" s="131"/>
      <c r="AU250" s="4"/>
    </row>
    <row r="251" spans="1:47" s="14" customFormat="1" x14ac:dyDescent="0.25">
      <c r="A251" s="32">
        <v>242</v>
      </c>
      <c r="B251" s="13" t="s">
        <v>21</v>
      </c>
      <c r="C251" s="9" t="s">
        <v>860</v>
      </c>
      <c r="D251" s="10" t="s">
        <v>1075</v>
      </c>
      <c r="E251" t="s">
        <v>861</v>
      </c>
      <c r="F251" s="34" t="s">
        <v>862</v>
      </c>
      <c r="G251" s="6" t="s">
        <v>863</v>
      </c>
      <c r="H251" s="33">
        <v>401107</v>
      </c>
      <c r="I251" s="90">
        <v>127</v>
      </c>
      <c r="J251" s="90" t="str">
        <f t="shared" si="146"/>
        <v>110-130</v>
      </c>
      <c r="K251" s="91">
        <f t="shared" si="143"/>
        <v>10159.810450732197</v>
      </c>
      <c r="L251" s="99">
        <v>26</v>
      </c>
      <c r="M251" s="99" t="str">
        <f t="shared" si="144"/>
        <v>21-30</v>
      </c>
      <c r="N251" s="100">
        <f t="shared" si="145"/>
        <v>4508.6394748902885</v>
      </c>
      <c r="O251" s="51">
        <v>31</v>
      </c>
      <c r="P251" s="51" t="str">
        <f t="shared" si="128"/>
        <v>31-50</v>
      </c>
      <c r="Q251" s="51">
        <f t="shared" si="124"/>
        <v>5073.1976040297868</v>
      </c>
      <c r="R251" s="49">
        <v>24</v>
      </c>
      <c r="S251" s="49" t="str">
        <f t="shared" si="125"/>
        <v>21-30</v>
      </c>
      <c r="T251" s="49">
        <f t="shared" si="126"/>
        <v>4508.6394748902885</v>
      </c>
      <c r="U251" s="50">
        <v>34</v>
      </c>
      <c r="V251" s="50" t="str">
        <f t="shared" si="129"/>
        <v>31-50</v>
      </c>
      <c r="W251" s="50">
        <f t="shared" si="130"/>
        <v>5073.1976040297868</v>
      </c>
      <c r="X251" s="143" t="s">
        <v>1458</v>
      </c>
      <c r="Y251" s="143" t="e">
        <f t="shared" si="131"/>
        <v>#N/A</v>
      </c>
      <c r="Z251" s="143" t="e">
        <f t="shared" si="132"/>
        <v>#N/A</v>
      </c>
      <c r="AA251" s="116"/>
      <c r="AB251" s="114" t="str">
        <f t="shared" si="133"/>
        <v>0-20</v>
      </c>
      <c r="AC251" s="114">
        <f t="shared" si="134"/>
        <v>3844.3574443810608</v>
      </c>
      <c r="AD251" s="129"/>
      <c r="AE251" s="129" t="str">
        <f t="shared" si="138"/>
        <v>0-20</v>
      </c>
      <c r="AF251" s="129">
        <f t="shared" si="139"/>
        <v>3844.3574443810608</v>
      </c>
      <c r="AG251" s="138">
        <v>72</v>
      </c>
      <c r="AH251" s="138" t="str">
        <f t="shared" si="140"/>
        <v>51-80</v>
      </c>
      <c r="AI251" s="138">
        <f t="shared" si="141"/>
        <v>6509</v>
      </c>
      <c r="AJ251" s="36"/>
      <c r="AK251" s="36"/>
      <c r="AL251" s="37"/>
      <c r="AM251" s="79"/>
      <c r="AN251" s="102"/>
      <c r="AO251" s="102"/>
      <c r="AP251" s="133"/>
      <c r="AQ251" s="133" t="str">
        <f t="shared" si="135"/>
        <v>0-20</v>
      </c>
      <c r="AR251" s="133">
        <f t="shared" si="136"/>
        <v>3844.3574443810608</v>
      </c>
      <c r="AS251" s="131"/>
      <c r="AT251" s="131"/>
      <c r="AU251" s="4"/>
    </row>
    <row r="252" spans="1:47" s="14" customFormat="1" x14ac:dyDescent="0.25">
      <c r="A252" s="32">
        <v>243</v>
      </c>
      <c r="B252" s="13" t="s">
        <v>21</v>
      </c>
      <c r="C252" s="9" t="s">
        <v>864</v>
      </c>
      <c r="D252" s="10" t="s">
        <v>1076</v>
      </c>
      <c r="E252" s="9" t="s">
        <v>865</v>
      </c>
      <c r="F252" s="34" t="s">
        <v>866</v>
      </c>
      <c r="G252" s="6" t="s">
        <v>558</v>
      </c>
      <c r="H252" s="33">
        <v>421302</v>
      </c>
      <c r="I252" s="90">
        <v>126</v>
      </c>
      <c r="J252" s="90" t="str">
        <f t="shared" si="146"/>
        <v>110-130</v>
      </c>
      <c r="K252" s="91">
        <f t="shared" si="143"/>
        <v>10159.810450732197</v>
      </c>
      <c r="L252" s="35">
        <v>26</v>
      </c>
      <c r="M252" s="35" t="str">
        <f t="shared" si="144"/>
        <v>21-30</v>
      </c>
      <c r="N252" s="36">
        <f t="shared" si="145"/>
        <v>4508.6394748902885</v>
      </c>
      <c r="O252" s="51">
        <v>36</v>
      </c>
      <c r="P252" s="51" t="str">
        <f t="shared" si="128"/>
        <v>31-50</v>
      </c>
      <c r="Q252" s="51">
        <f t="shared" si="124"/>
        <v>5073.1976040297868</v>
      </c>
      <c r="R252" s="49">
        <v>45</v>
      </c>
      <c r="S252" s="49" t="str">
        <f t="shared" si="125"/>
        <v>31-50</v>
      </c>
      <c r="T252" s="49">
        <f t="shared" si="126"/>
        <v>5073.1976040297868</v>
      </c>
      <c r="U252" s="50">
        <v>43</v>
      </c>
      <c r="V252" s="50" t="str">
        <f t="shared" si="129"/>
        <v>31-50</v>
      </c>
      <c r="W252" s="50">
        <f t="shared" si="130"/>
        <v>5073.1976040297868</v>
      </c>
      <c r="X252" s="143" t="s">
        <v>1458</v>
      </c>
      <c r="Y252" s="143" t="e">
        <f t="shared" si="131"/>
        <v>#N/A</v>
      </c>
      <c r="Z252" s="143" t="e">
        <f t="shared" si="132"/>
        <v>#N/A</v>
      </c>
      <c r="AA252" s="116"/>
      <c r="AB252" s="114" t="str">
        <f t="shared" si="133"/>
        <v>0-20</v>
      </c>
      <c r="AC252" s="114">
        <f t="shared" si="134"/>
        <v>3844.3574443810608</v>
      </c>
      <c r="AD252" s="129"/>
      <c r="AE252" s="129" t="str">
        <f t="shared" si="138"/>
        <v>0-20</v>
      </c>
      <c r="AF252" s="129">
        <f t="shared" si="139"/>
        <v>3844.3574443810608</v>
      </c>
      <c r="AG252" s="138">
        <v>75</v>
      </c>
      <c r="AH252" s="138" t="str">
        <f t="shared" si="140"/>
        <v>51-80</v>
      </c>
      <c r="AI252" s="138">
        <f t="shared" si="141"/>
        <v>6509</v>
      </c>
      <c r="AJ252" s="36">
        <v>50</v>
      </c>
      <c r="AK252" s="36" t="str">
        <f>VLOOKUP(AJ252,$AV$3:$AW$9,2,1)</f>
        <v>31-50</v>
      </c>
      <c r="AL252" s="37">
        <f>VLOOKUP(AK252,$AW$3:$AX$9,2,0)</f>
        <v>5073.1976040297868</v>
      </c>
      <c r="AM252" s="37">
        <v>78</v>
      </c>
      <c r="AN252" s="3" t="str">
        <f>VLOOKUP(AM252,$AV$4:$AW$9,2,1)</f>
        <v>51-80</v>
      </c>
      <c r="AO252" s="119">
        <f>VLOOKUP(AN252,$AW$3:$AX$9,2,0)</f>
        <v>6509</v>
      </c>
      <c r="AP252" s="133"/>
      <c r="AQ252" s="133" t="str">
        <f t="shared" si="135"/>
        <v>0-20</v>
      </c>
      <c r="AR252" s="133">
        <f t="shared" si="136"/>
        <v>3844.3574443810608</v>
      </c>
      <c r="AS252" s="131"/>
      <c r="AT252" s="131"/>
      <c r="AU252" s="4"/>
    </row>
    <row r="253" spans="1:47" s="14" customFormat="1" x14ac:dyDescent="0.25">
      <c r="A253" s="32">
        <v>244</v>
      </c>
      <c r="B253" s="13" t="s">
        <v>21</v>
      </c>
      <c r="C253" s="9" t="s">
        <v>867</v>
      </c>
      <c r="D253" s="10" t="s">
        <v>1077</v>
      </c>
      <c r="E253" s="9" t="s">
        <v>868</v>
      </c>
      <c r="F253" s="34" t="s">
        <v>869</v>
      </c>
      <c r="G253" s="6" t="s">
        <v>737</v>
      </c>
      <c r="H253" s="33">
        <v>401503</v>
      </c>
      <c r="I253" s="90">
        <v>207</v>
      </c>
      <c r="J253" s="90" t="str">
        <f t="shared" si="146"/>
        <v>110-130</v>
      </c>
      <c r="K253" s="91">
        <f t="shared" si="143"/>
        <v>10159.810450732197</v>
      </c>
      <c r="L253" s="35">
        <v>113</v>
      </c>
      <c r="M253" s="35" t="str">
        <f t="shared" si="144"/>
        <v>110-130</v>
      </c>
      <c r="N253" s="36">
        <f t="shared" si="145"/>
        <v>10159.810450732197</v>
      </c>
      <c r="O253" s="51">
        <v>72</v>
      </c>
      <c r="P253" s="51" t="str">
        <f t="shared" si="128"/>
        <v>51-80</v>
      </c>
      <c r="Q253" s="51">
        <f t="shared" si="124"/>
        <v>6509</v>
      </c>
      <c r="R253" s="49">
        <v>115</v>
      </c>
      <c r="S253" s="49" t="str">
        <f t="shared" si="125"/>
        <v>110-130</v>
      </c>
      <c r="T253" s="49">
        <f t="shared" si="126"/>
        <v>10159.810450732197</v>
      </c>
      <c r="U253" s="50">
        <v>129</v>
      </c>
      <c r="V253" s="50" t="str">
        <f t="shared" si="129"/>
        <v>110-130</v>
      </c>
      <c r="W253" s="50">
        <f t="shared" si="130"/>
        <v>10159.810450732197</v>
      </c>
      <c r="X253" s="143" t="s">
        <v>1458</v>
      </c>
      <c r="Y253" s="143" t="e">
        <f t="shared" si="131"/>
        <v>#N/A</v>
      </c>
      <c r="Z253" s="143" t="e">
        <f t="shared" si="132"/>
        <v>#N/A</v>
      </c>
      <c r="AA253" s="116"/>
      <c r="AB253" s="114" t="str">
        <f t="shared" si="133"/>
        <v>0-20</v>
      </c>
      <c r="AC253" s="114">
        <f t="shared" si="134"/>
        <v>3844.3574443810608</v>
      </c>
      <c r="AD253" s="129"/>
      <c r="AE253" s="129" t="str">
        <f t="shared" si="138"/>
        <v>0-20</v>
      </c>
      <c r="AF253" s="129">
        <f t="shared" si="139"/>
        <v>3844.3574443810608</v>
      </c>
      <c r="AG253" s="138">
        <v>55</v>
      </c>
      <c r="AH253" s="138" t="str">
        <f t="shared" si="140"/>
        <v>51-80</v>
      </c>
      <c r="AI253" s="138">
        <f t="shared" si="141"/>
        <v>6509</v>
      </c>
      <c r="AJ253" s="36"/>
      <c r="AK253" s="36"/>
      <c r="AL253" s="37"/>
      <c r="AM253" s="79"/>
      <c r="AN253" s="79"/>
      <c r="AO253" s="79"/>
      <c r="AP253" s="133"/>
      <c r="AQ253" s="133" t="str">
        <f t="shared" si="135"/>
        <v>0-20</v>
      </c>
      <c r="AR253" s="133">
        <f t="shared" si="136"/>
        <v>3844.3574443810608</v>
      </c>
      <c r="AS253" s="131"/>
      <c r="AT253" s="131"/>
      <c r="AU253" s="4"/>
    </row>
    <row r="254" spans="1:47" s="14" customFormat="1" x14ac:dyDescent="0.25">
      <c r="A254" s="32">
        <v>245</v>
      </c>
      <c r="B254" s="13" t="s">
        <v>21</v>
      </c>
      <c r="C254" s="9" t="s">
        <v>870</v>
      </c>
      <c r="D254" s="10" t="s">
        <v>1078</v>
      </c>
      <c r="E254" s="9" t="s">
        <v>871</v>
      </c>
      <c r="F254" s="34" t="s">
        <v>872</v>
      </c>
      <c r="G254" s="6" t="s">
        <v>873</v>
      </c>
      <c r="H254" s="33">
        <v>401501</v>
      </c>
      <c r="I254" s="90">
        <v>193</v>
      </c>
      <c r="J254" s="90" t="str">
        <f t="shared" si="146"/>
        <v>110-130</v>
      </c>
      <c r="K254" s="91">
        <f t="shared" si="143"/>
        <v>10159.810450732197</v>
      </c>
      <c r="L254" s="35">
        <v>100</v>
      </c>
      <c r="M254" s="35" t="str">
        <f t="shared" si="144"/>
        <v>81-110</v>
      </c>
      <c r="N254" s="36">
        <f t="shared" si="145"/>
        <v>8747.8561594387575</v>
      </c>
      <c r="O254" s="51">
        <v>59</v>
      </c>
      <c r="P254" s="51" t="str">
        <f t="shared" si="128"/>
        <v>51-80</v>
      </c>
      <c r="Q254" s="51">
        <f t="shared" si="124"/>
        <v>6509</v>
      </c>
      <c r="R254" s="49">
        <v>101</v>
      </c>
      <c r="S254" s="49" t="str">
        <f t="shared" si="125"/>
        <v>81-110</v>
      </c>
      <c r="T254" s="49">
        <f t="shared" si="126"/>
        <v>8747.8561594387575</v>
      </c>
      <c r="U254" s="50">
        <v>112</v>
      </c>
      <c r="V254" s="50" t="str">
        <f t="shared" si="129"/>
        <v>110-130</v>
      </c>
      <c r="W254" s="50">
        <f t="shared" si="130"/>
        <v>10159.810450732197</v>
      </c>
      <c r="X254" s="143" t="s">
        <v>1458</v>
      </c>
      <c r="Y254" s="143" t="e">
        <f t="shared" si="131"/>
        <v>#N/A</v>
      </c>
      <c r="Z254" s="143" t="e">
        <f t="shared" si="132"/>
        <v>#N/A</v>
      </c>
      <c r="AA254" s="116"/>
      <c r="AB254" s="114" t="str">
        <f t="shared" si="133"/>
        <v>0-20</v>
      </c>
      <c r="AC254" s="114">
        <f t="shared" si="134"/>
        <v>3844.3574443810608</v>
      </c>
      <c r="AD254" s="129"/>
      <c r="AE254" s="129" t="str">
        <f t="shared" si="138"/>
        <v>0-20</v>
      </c>
      <c r="AF254" s="129">
        <f t="shared" si="139"/>
        <v>3844.3574443810608</v>
      </c>
      <c r="AG254" s="138">
        <v>37</v>
      </c>
      <c r="AH254" s="138" t="str">
        <f t="shared" si="140"/>
        <v>31-50</v>
      </c>
      <c r="AI254" s="138">
        <f t="shared" si="141"/>
        <v>5073.1976040297868</v>
      </c>
      <c r="AJ254" s="36"/>
      <c r="AK254" s="36"/>
      <c r="AL254" s="37"/>
      <c r="AM254" s="79"/>
      <c r="AN254" s="79"/>
      <c r="AO254" s="79"/>
      <c r="AP254" s="133"/>
      <c r="AQ254" s="133" t="str">
        <f t="shared" si="135"/>
        <v>0-20</v>
      </c>
      <c r="AR254" s="133">
        <f t="shared" si="136"/>
        <v>3844.3574443810608</v>
      </c>
      <c r="AS254" s="131"/>
      <c r="AT254" s="131"/>
      <c r="AU254" s="4"/>
    </row>
    <row r="255" spans="1:47" s="14" customFormat="1" x14ac:dyDescent="0.25">
      <c r="A255" s="32">
        <v>246</v>
      </c>
      <c r="B255" s="13" t="s">
        <v>21</v>
      </c>
      <c r="C255" s="9" t="s">
        <v>878</v>
      </c>
      <c r="D255" s="10" t="s">
        <v>1079</v>
      </c>
      <c r="E255" s="9" t="s">
        <v>871</v>
      </c>
      <c r="F255" s="34" t="s">
        <v>872</v>
      </c>
      <c r="G255" s="6" t="s">
        <v>873</v>
      </c>
      <c r="H255" s="33">
        <v>401501</v>
      </c>
      <c r="I255" s="90">
        <v>193</v>
      </c>
      <c r="J255" s="90" t="str">
        <f t="shared" si="146"/>
        <v>110-130</v>
      </c>
      <c r="K255" s="91">
        <f t="shared" si="143"/>
        <v>10159.810450732197</v>
      </c>
      <c r="L255" s="35">
        <v>100</v>
      </c>
      <c r="M255" s="35" t="str">
        <f t="shared" si="144"/>
        <v>81-110</v>
      </c>
      <c r="N255" s="36">
        <f t="shared" si="145"/>
        <v>8747.8561594387575</v>
      </c>
      <c r="O255" s="51">
        <v>59</v>
      </c>
      <c r="P255" s="51" t="str">
        <f t="shared" si="128"/>
        <v>51-80</v>
      </c>
      <c r="Q255" s="51">
        <f t="shared" si="124"/>
        <v>6509</v>
      </c>
      <c r="R255" s="49">
        <v>101</v>
      </c>
      <c r="S255" s="49" t="str">
        <f t="shared" si="125"/>
        <v>81-110</v>
      </c>
      <c r="T255" s="49">
        <f t="shared" si="126"/>
        <v>8747.8561594387575</v>
      </c>
      <c r="U255" s="50">
        <v>112</v>
      </c>
      <c r="V255" s="50" t="str">
        <f t="shared" si="129"/>
        <v>110-130</v>
      </c>
      <c r="W255" s="50">
        <f t="shared" si="130"/>
        <v>10159.810450732197</v>
      </c>
      <c r="X255" s="143" t="s">
        <v>1458</v>
      </c>
      <c r="Y255" s="143" t="e">
        <f t="shared" si="131"/>
        <v>#N/A</v>
      </c>
      <c r="Z255" s="143" t="e">
        <f t="shared" si="132"/>
        <v>#N/A</v>
      </c>
      <c r="AA255" s="116"/>
      <c r="AB255" s="114" t="str">
        <f t="shared" si="133"/>
        <v>0-20</v>
      </c>
      <c r="AC255" s="114">
        <f t="shared" si="134"/>
        <v>3844.3574443810608</v>
      </c>
      <c r="AD255" s="129"/>
      <c r="AE255" s="129" t="str">
        <f t="shared" si="138"/>
        <v>0-20</v>
      </c>
      <c r="AF255" s="129">
        <f t="shared" si="139"/>
        <v>3844.3574443810608</v>
      </c>
      <c r="AG255" s="138">
        <v>37</v>
      </c>
      <c r="AH255" s="138" t="str">
        <f t="shared" si="140"/>
        <v>31-50</v>
      </c>
      <c r="AI255" s="138">
        <f t="shared" si="141"/>
        <v>5073.1976040297868</v>
      </c>
      <c r="AJ255" s="36"/>
      <c r="AK255" s="36"/>
      <c r="AL255" s="37"/>
      <c r="AM255" s="79"/>
      <c r="AN255" s="79"/>
      <c r="AO255" s="79"/>
      <c r="AP255" s="133"/>
      <c r="AQ255" s="133" t="str">
        <f t="shared" si="135"/>
        <v>0-20</v>
      </c>
      <c r="AR255" s="133">
        <f t="shared" si="136"/>
        <v>3844.3574443810608</v>
      </c>
      <c r="AS255" s="131"/>
      <c r="AT255" s="131"/>
      <c r="AU255" s="4"/>
    </row>
    <row r="256" spans="1:47" s="14" customFormat="1" x14ac:dyDescent="0.25">
      <c r="A256" s="32">
        <v>247</v>
      </c>
      <c r="B256" s="13" t="s">
        <v>21</v>
      </c>
      <c r="C256" s="9" t="s">
        <v>874</v>
      </c>
      <c r="D256" s="10" t="s">
        <v>1080</v>
      </c>
      <c r="E256" s="9" t="s">
        <v>875</v>
      </c>
      <c r="F256" s="34" t="s">
        <v>876</v>
      </c>
      <c r="G256" s="6" t="s">
        <v>877</v>
      </c>
      <c r="H256" s="33">
        <v>400705</v>
      </c>
      <c r="I256" s="90">
        <v>82</v>
      </c>
      <c r="J256" s="90" t="str">
        <f t="shared" si="146"/>
        <v>81-110</v>
      </c>
      <c r="K256" s="91">
        <f t="shared" si="143"/>
        <v>8747.8561594387575</v>
      </c>
      <c r="L256" s="35">
        <v>25</v>
      </c>
      <c r="M256" s="35" t="str">
        <f t="shared" si="144"/>
        <v>21-30</v>
      </c>
      <c r="N256" s="36">
        <f t="shared" si="145"/>
        <v>4508.6394748902885</v>
      </c>
      <c r="O256" s="51">
        <v>62</v>
      </c>
      <c r="P256" s="51" t="str">
        <f t="shared" si="128"/>
        <v>51-80</v>
      </c>
      <c r="Q256" s="51">
        <f t="shared" si="124"/>
        <v>6509</v>
      </c>
      <c r="R256" s="49">
        <v>27</v>
      </c>
      <c r="S256" s="49" t="str">
        <f t="shared" si="125"/>
        <v>21-30</v>
      </c>
      <c r="T256" s="49">
        <f t="shared" si="126"/>
        <v>4508.6394748902885</v>
      </c>
      <c r="U256" s="50">
        <v>22</v>
      </c>
      <c r="V256" s="50" t="str">
        <f t="shared" si="129"/>
        <v>21-30</v>
      </c>
      <c r="W256" s="50">
        <f t="shared" si="130"/>
        <v>4508.6394748902885</v>
      </c>
      <c r="X256" s="143" t="s">
        <v>1458</v>
      </c>
      <c r="Y256" s="143" t="e">
        <f t="shared" si="131"/>
        <v>#N/A</v>
      </c>
      <c r="Z256" s="143" t="e">
        <f t="shared" si="132"/>
        <v>#N/A</v>
      </c>
      <c r="AA256" s="116"/>
      <c r="AB256" s="114" t="str">
        <f t="shared" si="133"/>
        <v>0-20</v>
      </c>
      <c r="AC256" s="114">
        <f t="shared" si="134"/>
        <v>3844.3574443810608</v>
      </c>
      <c r="AD256" s="129"/>
      <c r="AE256" s="129" t="str">
        <f t="shared" si="138"/>
        <v>0-20</v>
      </c>
      <c r="AF256" s="129">
        <f t="shared" si="139"/>
        <v>3844.3574443810608</v>
      </c>
      <c r="AG256" s="138">
        <v>104</v>
      </c>
      <c r="AH256" s="138" t="str">
        <f t="shared" si="140"/>
        <v>81-110</v>
      </c>
      <c r="AI256" s="138">
        <f t="shared" si="141"/>
        <v>8747.8561594387575</v>
      </c>
      <c r="AJ256" s="36"/>
      <c r="AK256" s="36"/>
      <c r="AL256" s="37"/>
      <c r="AM256" s="79">
        <v>50</v>
      </c>
      <c r="AN256" s="3" t="str">
        <f>VLOOKUP(AM256,$AV$4:$AW$9,2,1)</f>
        <v>31-50</v>
      </c>
      <c r="AO256" s="119">
        <f>VLOOKUP(AN256,$AW$3:$AX$9,2,0)</f>
        <v>5073.1976040297868</v>
      </c>
      <c r="AP256" s="133"/>
      <c r="AQ256" s="133" t="str">
        <f t="shared" si="135"/>
        <v>0-20</v>
      </c>
      <c r="AR256" s="133">
        <f t="shared" si="136"/>
        <v>3844.3574443810608</v>
      </c>
      <c r="AS256" s="131"/>
      <c r="AT256" s="131"/>
      <c r="AU256" s="4"/>
    </row>
    <row r="257" spans="1:47" s="14" customFormat="1" x14ac:dyDescent="0.25">
      <c r="A257" s="32">
        <v>248</v>
      </c>
      <c r="B257" s="13" t="s">
        <v>4</v>
      </c>
      <c r="C257" s="9" t="s">
        <v>535</v>
      </c>
      <c r="D257" s="10" t="s">
        <v>1081</v>
      </c>
      <c r="E257" s="9" t="s">
        <v>536</v>
      </c>
      <c r="F257" s="34" t="s">
        <v>880</v>
      </c>
      <c r="G257" s="6" t="s">
        <v>881</v>
      </c>
      <c r="H257" s="33">
        <v>421301</v>
      </c>
      <c r="I257" s="90">
        <v>123</v>
      </c>
      <c r="J257" s="90" t="str">
        <f t="shared" si="146"/>
        <v>110-130</v>
      </c>
      <c r="K257" s="91">
        <f t="shared" si="143"/>
        <v>10159.810450732197</v>
      </c>
      <c r="L257" s="35">
        <v>35</v>
      </c>
      <c r="M257" s="35" t="str">
        <f t="shared" si="144"/>
        <v>31-50</v>
      </c>
      <c r="N257" s="36">
        <f t="shared" si="145"/>
        <v>5073.1976040297868</v>
      </c>
      <c r="O257" s="51">
        <v>47</v>
      </c>
      <c r="P257" s="51" t="str">
        <f t="shared" si="128"/>
        <v>31-50</v>
      </c>
      <c r="Q257" s="51">
        <f t="shared" si="124"/>
        <v>5073.1976040297868</v>
      </c>
      <c r="R257" s="49">
        <v>53</v>
      </c>
      <c r="S257" s="49" t="str">
        <f t="shared" si="125"/>
        <v>51-80</v>
      </c>
      <c r="T257" s="49">
        <f t="shared" si="126"/>
        <v>6509</v>
      </c>
      <c r="U257" s="50">
        <v>51</v>
      </c>
      <c r="V257" s="50" t="str">
        <f t="shared" si="129"/>
        <v>51-80</v>
      </c>
      <c r="W257" s="50">
        <f t="shared" si="130"/>
        <v>6509</v>
      </c>
      <c r="X257" s="143" t="s">
        <v>1458</v>
      </c>
      <c r="Y257" s="143" t="e">
        <f t="shared" si="131"/>
        <v>#N/A</v>
      </c>
      <c r="Z257" s="143" t="e">
        <f t="shared" si="132"/>
        <v>#N/A</v>
      </c>
      <c r="AA257" s="116"/>
      <c r="AB257" s="114" t="str">
        <f t="shared" si="133"/>
        <v>0-20</v>
      </c>
      <c r="AC257" s="114">
        <f t="shared" si="134"/>
        <v>3844.3574443810608</v>
      </c>
      <c r="AD257" s="129"/>
      <c r="AE257" s="129" t="str">
        <f t="shared" si="138"/>
        <v>0-20</v>
      </c>
      <c r="AF257" s="129">
        <f t="shared" si="139"/>
        <v>3844.3574443810608</v>
      </c>
      <c r="AG257" s="138">
        <v>80</v>
      </c>
      <c r="AH257" s="138" t="str">
        <f t="shared" si="140"/>
        <v>51-80</v>
      </c>
      <c r="AI257" s="138">
        <f t="shared" si="141"/>
        <v>6509</v>
      </c>
      <c r="AJ257" s="36"/>
      <c r="AK257" s="36"/>
      <c r="AL257" s="37"/>
      <c r="AM257" s="79"/>
      <c r="AN257" s="79"/>
      <c r="AO257" s="79"/>
      <c r="AP257" s="133"/>
      <c r="AQ257" s="133" t="str">
        <f t="shared" si="135"/>
        <v>0-20</v>
      </c>
      <c r="AR257" s="133">
        <f t="shared" si="136"/>
        <v>3844.3574443810608</v>
      </c>
      <c r="AS257" s="131"/>
      <c r="AT257" s="131"/>
      <c r="AU257" s="4"/>
    </row>
    <row r="258" spans="1:47" s="14" customFormat="1" x14ac:dyDescent="0.25">
      <c r="A258" s="32">
        <v>249</v>
      </c>
      <c r="B258" s="13" t="s">
        <v>4</v>
      </c>
      <c r="C258" s="9" t="s">
        <v>882</v>
      </c>
      <c r="D258" s="10" t="s">
        <v>1082</v>
      </c>
      <c r="E258" s="9" t="s">
        <v>883</v>
      </c>
      <c r="F258" s="34" t="s">
        <v>884</v>
      </c>
      <c r="G258" s="6" t="s">
        <v>530</v>
      </c>
      <c r="H258" s="33">
        <v>400701</v>
      </c>
      <c r="I258" s="90">
        <v>87</v>
      </c>
      <c r="J258" s="90" t="str">
        <f t="shared" si="146"/>
        <v>81-110</v>
      </c>
      <c r="K258" s="91">
        <f t="shared" ref="K258:K289" si="147">VLOOKUP(J258,$AW$3:$AX$9,2,0)</f>
        <v>8747.8561594387575</v>
      </c>
      <c r="L258" s="35">
        <v>14</v>
      </c>
      <c r="M258" s="35" t="str">
        <f t="shared" ref="M258:M289" si="148">VLOOKUP(L258,$AV$4:$AW$9,2,1)</f>
        <v>0-20</v>
      </c>
      <c r="N258" s="36">
        <f t="shared" si="145"/>
        <v>3844.3574443810608</v>
      </c>
      <c r="O258" s="51">
        <v>61</v>
      </c>
      <c r="P258" s="51" t="str">
        <f t="shared" si="128"/>
        <v>51-80</v>
      </c>
      <c r="Q258" s="51">
        <f t="shared" si="124"/>
        <v>6509</v>
      </c>
      <c r="R258" s="49">
        <v>22</v>
      </c>
      <c r="S258" s="49" t="str">
        <f t="shared" si="125"/>
        <v>21-30</v>
      </c>
      <c r="T258" s="49">
        <f t="shared" si="126"/>
        <v>4508.6394748902885</v>
      </c>
      <c r="U258" s="50">
        <v>21</v>
      </c>
      <c r="V258" s="50" t="str">
        <f t="shared" si="129"/>
        <v>21-30</v>
      </c>
      <c r="W258" s="50">
        <f t="shared" si="130"/>
        <v>4508.6394748902885</v>
      </c>
      <c r="X258" s="143" t="s">
        <v>1458</v>
      </c>
      <c r="Y258" s="143" t="e">
        <f t="shared" si="131"/>
        <v>#N/A</v>
      </c>
      <c r="Z258" s="143" t="e">
        <f t="shared" si="132"/>
        <v>#N/A</v>
      </c>
      <c r="AA258" s="116"/>
      <c r="AB258" s="114" t="str">
        <f t="shared" si="133"/>
        <v>0-20</v>
      </c>
      <c r="AC258" s="114">
        <f t="shared" si="134"/>
        <v>3844.3574443810608</v>
      </c>
      <c r="AD258" s="129"/>
      <c r="AE258" s="129" t="str">
        <f t="shared" si="138"/>
        <v>0-20</v>
      </c>
      <c r="AF258" s="129">
        <f t="shared" si="139"/>
        <v>3844.3574443810608</v>
      </c>
      <c r="AG258" s="138">
        <v>96</v>
      </c>
      <c r="AH258" s="138" t="str">
        <f t="shared" si="140"/>
        <v>81-110</v>
      </c>
      <c r="AI258" s="138">
        <f t="shared" si="141"/>
        <v>8747.8561594387575</v>
      </c>
      <c r="AJ258" s="36"/>
      <c r="AK258" s="36"/>
      <c r="AL258" s="37"/>
      <c r="AM258" s="79"/>
      <c r="AN258" s="79"/>
      <c r="AO258" s="79"/>
      <c r="AP258" s="133"/>
      <c r="AQ258" s="133" t="str">
        <f t="shared" si="135"/>
        <v>0-20</v>
      </c>
      <c r="AR258" s="133">
        <f t="shared" si="136"/>
        <v>3844.3574443810608</v>
      </c>
      <c r="AS258" s="131"/>
      <c r="AT258" s="131"/>
      <c r="AU258" s="4"/>
    </row>
    <row r="259" spans="1:47" s="14" customFormat="1" x14ac:dyDescent="0.25">
      <c r="A259" s="32">
        <v>250</v>
      </c>
      <c r="B259" s="13" t="s">
        <v>21</v>
      </c>
      <c r="C259" s="9" t="s">
        <v>888</v>
      </c>
      <c r="D259" s="10" t="s">
        <v>1083</v>
      </c>
      <c r="E259" s="9" t="s">
        <v>889</v>
      </c>
      <c r="F259" s="34" t="s">
        <v>891</v>
      </c>
      <c r="G259" s="6" t="s">
        <v>890</v>
      </c>
      <c r="H259" s="33">
        <v>401301</v>
      </c>
      <c r="I259" s="90">
        <v>145</v>
      </c>
      <c r="J259" s="90" t="str">
        <f t="shared" si="146"/>
        <v>110-130</v>
      </c>
      <c r="K259" s="91">
        <f t="shared" si="147"/>
        <v>10159.810450732197</v>
      </c>
      <c r="L259" s="35">
        <v>52</v>
      </c>
      <c r="M259" s="35" t="str">
        <f t="shared" si="148"/>
        <v>51-80</v>
      </c>
      <c r="N259" s="36">
        <f t="shared" si="145"/>
        <v>6509</v>
      </c>
      <c r="O259" s="51">
        <v>18</v>
      </c>
      <c r="P259" s="51" t="str">
        <f t="shared" si="128"/>
        <v>0-20</v>
      </c>
      <c r="Q259" s="51">
        <f t="shared" ref="Q259:Q312" si="149">VLOOKUP(P259,$AW$3:$AX$9,2,0)</f>
        <v>3844.3574443810608</v>
      </c>
      <c r="R259" s="49">
        <v>54</v>
      </c>
      <c r="S259" s="49" t="str">
        <f t="shared" ref="S259:S312" si="150">VLOOKUP(R259,$AV$3:$AW$9,2,1)</f>
        <v>51-80</v>
      </c>
      <c r="T259" s="49">
        <f t="shared" ref="T259:T312" si="151">VLOOKUP(S259,$AW$3:$AX$9,2,0)</f>
        <v>6509</v>
      </c>
      <c r="U259" s="50">
        <v>64</v>
      </c>
      <c r="V259" s="50" t="str">
        <f t="shared" si="129"/>
        <v>51-80</v>
      </c>
      <c r="W259" s="50">
        <f t="shared" ref="W259:W312" si="152">VLOOKUP(V259,$AW$3:$AX$9,2,0)</f>
        <v>6509</v>
      </c>
      <c r="X259" s="143" t="s">
        <v>1458</v>
      </c>
      <c r="Y259" s="143" t="e">
        <f t="shared" si="131"/>
        <v>#N/A</v>
      </c>
      <c r="Z259" s="143" t="e">
        <f t="shared" si="132"/>
        <v>#N/A</v>
      </c>
      <c r="AA259" s="116">
        <v>52</v>
      </c>
      <c r="AB259" s="114" t="str">
        <f t="shared" si="133"/>
        <v>51-80</v>
      </c>
      <c r="AC259" s="114">
        <f t="shared" si="134"/>
        <v>6509</v>
      </c>
      <c r="AD259" s="129"/>
      <c r="AE259" s="129" t="str">
        <f t="shared" si="138"/>
        <v>0-20</v>
      </c>
      <c r="AF259" s="129">
        <f t="shared" si="139"/>
        <v>3844.3574443810608</v>
      </c>
      <c r="AG259" s="138">
        <v>61</v>
      </c>
      <c r="AH259" s="138" t="str">
        <f t="shared" si="140"/>
        <v>51-80</v>
      </c>
      <c r="AI259" s="138">
        <f t="shared" si="141"/>
        <v>6509</v>
      </c>
      <c r="AJ259" s="36"/>
      <c r="AK259" s="36"/>
      <c r="AL259" s="37"/>
      <c r="AM259" s="79"/>
      <c r="AN259" s="79"/>
      <c r="AO259" s="79"/>
      <c r="AP259" s="133"/>
      <c r="AQ259" s="133" t="str">
        <f t="shared" si="135"/>
        <v>0-20</v>
      </c>
      <c r="AR259" s="133">
        <f t="shared" si="136"/>
        <v>3844.3574443810608</v>
      </c>
      <c r="AS259" s="131"/>
      <c r="AT259" s="131"/>
      <c r="AU259" s="4"/>
    </row>
    <row r="260" spans="1:47" s="14" customFormat="1" x14ac:dyDescent="0.25">
      <c r="A260" s="32">
        <v>251</v>
      </c>
      <c r="B260" s="13" t="s">
        <v>21</v>
      </c>
      <c r="C260" s="9" t="s">
        <v>892</v>
      </c>
      <c r="D260" s="10" t="s">
        <v>1084</v>
      </c>
      <c r="E260" s="9" t="s">
        <v>893</v>
      </c>
      <c r="F260" s="34" t="s">
        <v>894</v>
      </c>
      <c r="G260" s="6" t="s">
        <v>578</v>
      </c>
      <c r="H260" s="33">
        <v>410208</v>
      </c>
      <c r="I260" s="90">
        <v>80</v>
      </c>
      <c r="J260" s="90" t="str">
        <f t="shared" si="146"/>
        <v>51-80</v>
      </c>
      <c r="K260" s="91">
        <f t="shared" si="147"/>
        <v>6509</v>
      </c>
      <c r="L260" s="2">
        <v>38</v>
      </c>
      <c r="M260" s="35" t="str">
        <f t="shared" si="148"/>
        <v>31-50</v>
      </c>
      <c r="N260" s="36">
        <f t="shared" si="145"/>
        <v>5073.1976040297868</v>
      </c>
      <c r="O260" s="20">
        <v>78</v>
      </c>
      <c r="P260" s="51" t="str">
        <f t="shared" ref="P260:P312" si="153">VLOOKUP(O260,$AV$3:$AW$9,2,1)</f>
        <v>51-80</v>
      </c>
      <c r="Q260" s="51">
        <f t="shared" si="149"/>
        <v>6509</v>
      </c>
      <c r="R260" s="21">
        <v>45</v>
      </c>
      <c r="S260" s="49" t="str">
        <f t="shared" si="150"/>
        <v>31-50</v>
      </c>
      <c r="T260" s="49">
        <f t="shared" si="151"/>
        <v>5073.1976040297868</v>
      </c>
      <c r="U260" s="22">
        <v>39</v>
      </c>
      <c r="V260" s="50" t="str">
        <f t="shared" ref="V260:V312" si="154">VLOOKUP(U260,$AV$3:$AW$9,2,1)</f>
        <v>31-50</v>
      </c>
      <c r="W260" s="50">
        <f t="shared" si="152"/>
        <v>5073.1976040297868</v>
      </c>
      <c r="X260" s="143">
        <v>41</v>
      </c>
      <c r="Y260" s="143" t="str">
        <f t="shared" ref="Y260:Y315" si="155">VLOOKUP(X260,$AV$4:$AW$9,2,1)</f>
        <v>31-50</v>
      </c>
      <c r="Z260" s="143">
        <f t="shared" ref="Z260:Z315" si="156">VLOOKUP(Y260,$AW$3:$AX$9,2,0)</f>
        <v>5073.1976040297868</v>
      </c>
      <c r="AA260" s="116"/>
      <c r="AB260" s="114" t="str">
        <f t="shared" si="133"/>
        <v>0-20</v>
      </c>
      <c r="AC260" s="114">
        <f t="shared" si="134"/>
        <v>3844.3574443810608</v>
      </c>
      <c r="AD260" s="129"/>
      <c r="AE260" s="129" t="str">
        <f t="shared" si="138"/>
        <v>0-20</v>
      </c>
      <c r="AF260" s="129">
        <f t="shared" si="139"/>
        <v>3844.3574443810608</v>
      </c>
      <c r="AG260" s="138">
        <v>108</v>
      </c>
      <c r="AH260" s="138" t="str">
        <f t="shared" si="140"/>
        <v>81-110</v>
      </c>
      <c r="AI260" s="138">
        <f t="shared" si="141"/>
        <v>8747.8561594387575</v>
      </c>
      <c r="AJ260" s="22"/>
      <c r="AK260" s="2"/>
      <c r="AL260" s="2"/>
      <c r="AM260" s="2">
        <v>47</v>
      </c>
      <c r="AN260" s="3" t="str">
        <f>VLOOKUP(AM260,$AV$4:$AW$9,2,1)</f>
        <v>31-50</v>
      </c>
      <c r="AO260" s="119">
        <f>VLOOKUP(AN260,$AW$3:$AX$9,2,0)</f>
        <v>5073.1976040297868</v>
      </c>
      <c r="AP260" s="133"/>
      <c r="AQ260" s="133" t="str">
        <f t="shared" si="135"/>
        <v>0-20</v>
      </c>
      <c r="AR260" s="133">
        <f t="shared" si="136"/>
        <v>3844.3574443810608</v>
      </c>
      <c r="AS260" s="131"/>
      <c r="AT260" s="131"/>
      <c r="AU260" s="4"/>
    </row>
    <row r="261" spans="1:47" s="14" customFormat="1" x14ac:dyDescent="0.25">
      <c r="A261" s="32">
        <v>252</v>
      </c>
      <c r="B261" s="13" t="s">
        <v>21</v>
      </c>
      <c r="C261" s="9" t="s">
        <v>895</v>
      </c>
      <c r="D261" s="10" t="s">
        <v>1085</v>
      </c>
      <c r="E261" s="9" t="s">
        <v>896</v>
      </c>
      <c r="F261" s="34" t="s">
        <v>897</v>
      </c>
      <c r="G261" s="6" t="s">
        <v>482</v>
      </c>
      <c r="H261" s="33">
        <v>410206</v>
      </c>
      <c r="I261" s="90">
        <v>70</v>
      </c>
      <c r="J261" s="90" t="str">
        <f t="shared" si="146"/>
        <v>51-80</v>
      </c>
      <c r="K261" s="91">
        <f t="shared" si="147"/>
        <v>6509</v>
      </c>
      <c r="L261" s="35">
        <v>36</v>
      </c>
      <c r="M261" s="35" t="str">
        <f t="shared" si="148"/>
        <v>31-50</v>
      </c>
      <c r="N261" s="36">
        <f t="shared" si="145"/>
        <v>5073.1976040297868</v>
      </c>
      <c r="O261" s="51">
        <v>73</v>
      </c>
      <c r="P261" s="51" t="str">
        <f t="shared" si="153"/>
        <v>51-80</v>
      </c>
      <c r="Q261" s="51">
        <f t="shared" si="149"/>
        <v>6509</v>
      </c>
      <c r="R261" s="49">
        <v>41</v>
      </c>
      <c r="S261" s="49" t="str">
        <f t="shared" si="150"/>
        <v>31-50</v>
      </c>
      <c r="T261" s="49">
        <f t="shared" si="151"/>
        <v>5073.1976040297868</v>
      </c>
      <c r="U261" s="50">
        <v>33</v>
      </c>
      <c r="V261" s="50" t="str">
        <f t="shared" si="154"/>
        <v>31-50</v>
      </c>
      <c r="W261" s="50">
        <f t="shared" si="152"/>
        <v>5073.1976040297868</v>
      </c>
      <c r="X261" s="143">
        <v>51</v>
      </c>
      <c r="Y261" s="143" t="str">
        <f t="shared" si="155"/>
        <v>51-80</v>
      </c>
      <c r="Z261" s="143">
        <f t="shared" si="156"/>
        <v>6509</v>
      </c>
      <c r="AA261" s="116"/>
      <c r="AB261" s="114" t="str">
        <f t="shared" ref="AB261:AB308" si="157">VLOOKUP(AA261,$AV$4:$AW$9,2,1)</f>
        <v>0-20</v>
      </c>
      <c r="AC261" s="114">
        <f t="shared" ref="AC261:AC308" si="158">VLOOKUP(AB261,$AW$3:$AX$9,2,0)</f>
        <v>3844.3574443810608</v>
      </c>
      <c r="AD261" s="129"/>
      <c r="AE261" s="129" t="str">
        <f t="shared" si="138"/>
        <v>0-20</v>
      </c>
      <c r="AF261" s="129">
        <f t="shared" si="139"/>
        <v>3844.3574443810608</v>
      </c>
      <c r="AG261" s="139">
        <v>106</v>
      </c>
      <c r="AH261" s="138" t="str">
        <f t="shared" si="140"/>
        <v>81-110</v>
      </c>
      <c r="AI261" s="138">
        <f t="shared" si="141"/>
        <v>8747.8561594387575</v>
      </c>
      <c r="AJ261" s="36"/>
      <c r="AK261" s="36"/>
      <c r="AL261" s="37"/>
      <c r="AM261" s="79"/>
      <c r="AN261" s="79"/>
      <c r="AO261" s="79"/>
      <c r="AP261" s="133"/>
      <c r="AQ261" s="133" t="str">
        <f t="shared" ref="AQ261:AQ273" si="159">VLOOKUP(AP261,$AV$4:$AW$9,2,1)</f>
        <v>0-20</v>
      </c>
      <c r="AR261" s="133">
        <f t="shared" ref="AR261:AR273" si="160">VLOOKUP(AQ261,$AW$3:$AX$9,2,0)</f>
        <v>3844.3574443810608</v>
      </c>
      <c r="AS261" s="131"/>
      <c r="AT261" s="131"/>
      <c r="AU261" s="4"/>
    </row>
    <row r="262" spans="1:47" s="14" customFormat="1" x14ac:dyDescent="0.25">
      <c r="A262" s="32">
        <v>253</v>
      </c>
      <c r="B262" s="13" t="s">
        <v>21</v>
      </c>
      <c r="C262" s="9" t="s">
        <v>1086</v>
      </c>
      <c r="D262" s="9" t="s">
        <v>1090</v>
      </c>
      <c r="E262" s="9" t="s">
        <v>1089</v>
      </c>
      <c r="F262" s="34" t="s">
        <v>1088</v>
      </c>
      <c r="G262" s="6" t="s">
        <v>411</v>
      </c>
      <c r="H262" s="10">
        <v>401607</v>
      </c>
      <c r="I262" s="90">
        <v>200</v>
      </c>
      <c r="J262" s="90" t="str">
        <f t="shared" si="146"/>
        <v>110-130</v>
      </c>
      <c r="K262" s="91">
        <f t="shared" si="147"/>
        <v>10159.810450732197</v>
      </c>
      <c r="L262" s="35">
        <v>102</v>
      </c>
      <c r="M262" s="35" t="str">
        <f t="shared" si="148"/>
        <v>81-110</v>
      </c>
      <c r="N262" s="36">
        <f t="shared" si="145"/>
        <v>8747.8561594387575</v>
      </c>
      <c r="O262" s="51">
        <v>62</v>
      </c>
      <c r="P262" s="51" t="str">
        <f t="shared" si="153"/>
        <v>51-80</v>
      </c>
      <c r="Q262" s="51">
        <f t="shared" si="149"/>
        <v>6509</v>
      </c>
      <c r="R262" s="49">
        <v>101</v>
      </c>
      <c r="S262" s="49" t="str">
        <f t="shared" si="150"/>
        <v>81-110</v>
      </c>
      <c r="T262" s="49">
        <f t="shared" si="151"/>
        <v>8747.8561594387575</v>
      </c>
      <c r="U262" s="50">
        <v>115</v>
      </c>
      <c r="V262" s="50" t="str">
        <f t="shared" si="154"/>
        <v>110-130</v>
      </c>
      <c r="W262" s="50">
        <f t="shared" si="152"/>
        <v>10159.810450732197</v>
      </c>
      <c r="X262" s="143" t="s">
        <v>1458</v>
      </c>
      <c r="Y262" s="143" t="e">
        <f t="shared" si="155"/>
        <v>#N/A</v>
      </c>
      <c r="Z262" s="143" t="e">
        <f t="shared" si="156"/>
        <v>#N/A</v>
      </c>
      <c r="AA262" s="116"/>
      <c r="AB262" s="114" t="str">
        <f t="shared" si="157"/>
        <v>0-20</v>
      </c>
      <c r="AC262" s="114">
        <f t="shared" si="158"/>
        <v>3844.3574443810608</v>
      </c>
      <c r="AD262" s="129"/>
      <c r="AE262" s="129" t="str">
        <f t="shared" si="138"/>
        <v>0-20</v>
      </c>
      <c r="AF262" s="129">
        <f t="shared" si="139"/>
        <v>3844.3574443810608</v>
      </c>
      <c r="AG262" s="138">
        <v>32</v>
      </c>
      <c r="AH262" s="138" t="str">
        <f t="shared" si="140"/>
        <v>31-50</v>
      </c>
      <c r="AI262" s="138">
        <f t="shared" si="141"/>
        <v>5073.1976040297868</v>
      </c>
      <c r="AJ262" s="36"/>
      <c r="AK262" s="36"/>
      <c r="AL262" s="37"/>
      <c r="AM262" s="79"/>
      <c r="AN262" s="79"/>
      <c r="AO262" s="79"/>
      <c r="AP262" s="133"/>
      <c r="AQ262" s="133" t="str">
        <f t="shared" si="159"/>
        <v>0-20</v>
      </c>
      <c r="AR262" s="133">
        <f t="shared" si="160"/>
        <v>3844.3574443810608</v>
      </c>
      <c r="AS262" s="131"/>
      <c r="AT262" s="131"/>
      <c r="AU262" s="4"/>
    </row>
    <row r="263" spans="1:47" s="14" customFormat="1" x14ac:dyDescent="0.25">
      <c r="A263" s="32">
        <v>254</v>
      </c>
      <c r="B263" s="13" t="s">
        <v>21</v>
      </c>
      <c r="C263" s="9" t="s">
        <v>1097</v>
      </c>
      <c r="D263" s="9" t="s">
        <v>1094</v>
      </c>
      <c r="E263" s="9" t="s">
        <v>1095</v>
      </c>
      <c r="F263" s="34" t="s">
        <v>1096</v>
      </c>
      <c r="G263" s="6" t="s">
        <v>530</v>
      </c>
      <c r="H263" s="33">
        <v>400614</v>
      </c>
      <c r="I263" s="90">
        <v>85</v>
      </c>
      <c r="J263" s="90" t="str">
        <f t="shared" si="146"/>
        <v>81-110</v>
      </c>
      <c r="K263" s="91">
        <f t="shared" si="147"/>
        <v>8747.8561594387575</v>
      </c>
      <c r="L263" s="35">
        <v>26</v>
      </c>
      <c r="M263" s="35" t="str">
        <f t="shared" si="148"/>
        <v>21-30</v>
      </c>
      <c r="N263" s="36">
        <f t="shared" si="145"/>
        <v>4508.6394748902885</v>
      </c>
      <c r="O263" s="51">
        <v>67</v>
      </c>
      <c r="P263" s="51" t="str">
        <f t="shared" si="153"/>
        <v>51-80</v>
      </c>
      <c r="Q263" s="51">
        <f t="shared" si="149"/>
        <v>6509</v>
      </c>
      <c r="R263" s="49">
        <v>38</v>
      </c>
      <c r="S263" s="49" t="str">
        <f t="shared" si="150"/>
        <v>31-50</v>
      </c>
      <c r="T263" s="49">
        <f t="shared" si="151"/>
        <v>5073.1976040297868</v>
      </c>
      <c r="U263" s="50">
        <v>23</v>
      </c>
      <c r="V263" s="50" t="str">
        <f t="shared" si="154"/>
        <v>21-30</v>
      </c>
      <c r="W263" s="50">
        <f t="shared" si="152"/>
        <v>4508.6394748902885</v>
      </c>
      <c r="X263" s="143">
        <v>48</v>
      </c>
      <c r="Y263" s="143" t="str">
        <f t="shared" si="155"/>
        <v>31-50</v>
      </c>
      <c r="Z263" s="143">
        <f t="shared" si="156"/>
        <v>5073.1976040297868</v>
      </c>
      <c r="AA263" s="116"/>
      <c r="AB263" s="114" t="str">
        <f t="shared" si="157"/>
        <v>0-20</v>
      </c>
      <c r="AC263" s="114">
        <f t="shared" si="158"/>
        <v>3844.3574443810608</v>
      </c>
      <c r="AD263" s="129"/>
      <c r="AE263" s="129" t="str">
        <f t="shared" si="138"/>
        <v>0-20</v>
      </c>
      <c r="AF263" s="129">
        <f t="shared" si="139"/>
        <v>3844.3574443810608</v>
      </c>
      <c r="AG263" s="138">
        <v>110</v>
      </c>
      <c r="AH263" s="138" t="str">
        <f t="shared" si="140"/>
        <v>110-130</v>
      </c>
      <c r="AI263" s="138">
        <f t="shared" si="141"/>
        <v>10159.810450732197</v>
      </c>
      <c r="AJ263" s="36">
        <v>21</v>
      </c>
      <c r="AK263" s="36" t="str">
        <f>VLOOKUP(AJ263,$AV$3:$AW$9,2,1)</f>
        <v>21-30</v>
      </c>
      <c r="AL263" s="37">
        <f>VLOOKUP(AK263,$AW$3:$AX$9,2,0)</f>
        <v>4508.6394748902885</v>
      </c>
      <c r="AM263" s="37">
        <v>42</v>
      </c>
      <c r="AN263" s="3" t="str">
        <f>VLOOKUP(AM263,$AV$4:$AW$9,2,1)</f>
        <v>31-50</v>
      </c>
      <c r="AO263" s="119">
        <f>VLOOKUP(AN263,$AW$3:$AX$9,2,0)</f>
        <v>5073.1976040297868</v>
      </c>
      <c r="AP263" s="133"/>
      <c r="AQ263" s="133" t="str">
        <f t="shared" si="159"/>
        <v>0-20</v>
      </c>
      <c r="AR263" s="133">
        <f t="shared" si="160"/>
        <v>3844.3574443810608</v>
      </c>
      <c r="AS263" s="131"/>
      <c r="AT263" s="131"/>
      <c r="AU263" s="4"/>
    </row>
    <row r="264" spans="1:47" s="14" customFormat="1" x14ac:dyDescent="0.25">
      <c r="A264" s="32">
        <v>255</v>
      </c>
      <c r="B264" s="13" t="s">
        <v>21</v>
      </c>
      <c r="C264" s="89"/>
      <c r="D264" s="89" t="s">
        <v>1100</v>
      </c>
      <c r="E264" s="89" t="s">
        <v>1101</v>
      </c>
      <c r="F264" s="71" t="s">
        <v>1103</v>
      </c>
      <c r="G264" s="6" t="s">
        <v>1102</v>
      </c>
      <c r="H264" s="33">
        <v>400706</v>
      </c>
      <c r="I264" s="90">
        <v>80</v>
      </c>
      <c r="J264" s="90" t="str">
        <f t="shared" si="146"/>
        <v>51-80</v>
      </c>
      <c r="K264" s="91">
        <f t="shared" si="147"/>
        <v>6509</v>
      </c>
      <c r="L264" s="35">
        <v>29</v>
      </c>
      <c r="M264" s="35" t="str">
        <f t="shared" si="148"/>
        <v>21-30</v>
      </c>
      <c r="N264" s="36">
        <f t="shared" si="145"/>
        <v>4508.6394748902885</v>
      </c>
      <c r="O264" s="51">
        <v>61</v>
      </c>
      <c r="P264" s="51" t="str">
        <f t="shared" si="153"/>
        <v>51-80</v>
      </c>
      <c r="Q264" s="51">
        <f t="shared" si="149"/>
        <v>6509</v>
      </c>
      <c r="R264" s="49">
        <v>31</v>
      </c>
      <c r="S264" s="49" t="str">
        <f t="shared" si="150"/>
        <v>31-50</v>
      </c>
      <c r="T264" s="49">
        <f t="shared" si="151"/>
        <v>5073.1976040297868</v>
      </c>
      <c r="U264" s="50">
        <v>24</v>
      </c>
      <c r="V264" s="50" t="str">
        <f t="shared" si="154"/>
        <v>21-30</v>
      </c>
      <c r="W264" s="50">
        <f t="shared" si="152"/>
        <v>4508.6394748902885</v>
      </c>
      <c r="X264" s="143" t="s">
        <v>1458</v>
      </c>
      <c r="Y264" s="143" t="e">
        <f t="shared" si="155"/>
        <v>#N/A</v>
      </c>
      <c r="Z264" s="143" t="e">
        <f t="shared" si="156"/>
        <v>#N/A</v>
      </c>
      <c r="AA264" s="116"/>
      <c r="AB264" s="114" t="str">
        <f t="shared" si="157"/>
        <v>0-20</v>
      </c>
      <c r="AC264" s="114">
        <f t="shared" si="158"/>
        <v>3844.3574443810608</v>
      </c>
      <c r="AD264" s="129"/>
      <c r="AE264" s="129" t="str">
        <f t="shared" si="138"/>
        <v>0-20</v>
      </c>
      <c r="AF264" s="129">
        <f t="shared" si="139"/>
        <v>3844.3574443810608</v>
      </c>
      <c r="AG264" s="138">
        <v>108</v>
      </c>
      <c r="AH264" s="138" t="str">
        <f t="shared" si="140"/>
        <v>81-110</v>
      </c>
      <c r="AI264" s="138">
        <f t="shared" si="141"/>
        <v>8747.8561594387575</v>
      </c>
      <c r="AJ264" s="36"/>
      <c r="AK264" s="36"/>
      <c r="AL264" s="37"/>
      <c r="AM264" s="79"/>
      <c r="AN264" s="102"/>
      <c r="AO264" s="102"/>
      <c r="AP264" s="133"/>
      <c r="AQ264" s="133" t="str">
        <f t="shared" si="159"/>
        <v>0-20</v>
      </c>
      <c r="AR264" s="133">
        <f t="shared" si="160"/>
        <v>3844.3574443810608</v>
      </c>
      <c r="AS264" s="131"/>
      <c r="AT264" s="131"/>
      <c r="AU264" s="4"/>
    </row>
    <row r="265" spans="1:47" s="14" customFormat="1" x14ac:dyDescent="0.25">
      <c r="A265" s="32">
        <v>256</v>
      </c>
      <c r="B265" s="13" t="s">
        <v>21</v>
      </c>
      <c r="C265" s="89"/>
      <c r="D265" s="89" t="s">
        <v>1104</v>
      </c>
      <c r="E265" s="89" t="s">
        <v>1105</v>
      </c>
      <c r="F265" s="71" t="s">
        <v>1106</v>
      </c>
      <c r="G265" s="6" t="s">
        <v>558</v>
      </c>
      <c r="H265" s="33">
        <v>421302</v>
      </c>
      <c r="I265" s="90">
        <v>116</v>
      </c>
      <c r="J265" s="90" t="str">
        <f t="shared" si="146"/>
        <v>110-130</v>
      </c>
      <c r="K265" s="91">
        <f t="shared" si="147"/>
        <v>10159.810450732197</v>
      </c>
      <c r="L265" s="35">
        <v>29</v>
      </c>
      <c r="M265" s="35" t="str">
        <f t="shared" si="148"/>
        <v>21-30</v>
      </c>
      <c r="N265" s="36">
        <f t="shared" si="145"/>
        <v>4508.6394748902885</v>
      </c>
      <c r="O265" s="51">
        <v>40</v>
      </c>
      <c r="P265" s="51" t="str">
        <f t="shared" si="153"/>
        <v>31-50</v>
      </c>
      <c r="Q265" s="51">
        <f t="shared" si="149"/>
        <v>5073.1976040297868</v>
      </c>
      <c r="R265" s="49">
        <v>47</v>
      </c>
      <c r="S265" s="49" t="str">
        <f t="shared" si="150"/>
        <v>31-50</v>
      </c>
      <c r="T265" s="49">
        <f t="shared" si="151"/>
        <v>5073.1976040297868</v>
      </c>
      <c r="U265" s="50">
        <v>44</v>
      </c>
      <c r="V265" s="50" t="str">
        <f t="shared" si="154"/>
        <v>31-50</v>
      </c>
      <c r="W265" s="50">
        <f t="shared" si="152"/>
        <v>5073.1976040297868</v>
      </c>
      <c r="X265" s="143" t="s">
        <v>1458</v>
      </c>
      <c r="Y265" s="143" t="e">
        <f t="shared" si="155"/>
        <v>#N/A</v>
      </c>
      <c r="Z265" s="143" t="e">
        <f t="shared" si="156"/>
        <v>#N/A</v>
      </c>
      <c r="AA265" s="116"/>
      <c r="AB265" s="114" t="str">
        <f t="shared" si="157"/>
        <v>0-20</v>
      </c>
      <c r="AC265" s="114">
        <f t="shared" si="158"/>
        <v>3844.3574443810608</v>
      </c>
      <c r="AD265" s="129"/>
      <c r="AE265" s="129" t="str">
        <f t="shared" si="138"/>
        <v>0-20</v>
      </c>
      <c r="AF265" s="129">
        <f t="shared" si="139"/>
        <v>3844.3574443810608</v>
      </c>
      <c r="AG265" s="138">
        <v>75</v>
      </c>
      <c r="AH265" s="138" t="str">
        <f t="shared" si="140"/>
        <v>51-80</v>
      </c>
      <c r="AI265" s="138">
        <f t="shared" si="141"/>
        <v>6509</v>
      </c>
      <c r="AJ265" s="36"/>
      <c r="AK265" s="36"/>
      <c r="AL265" s="37"/>
      <c r="AM265" s="79"/>
      <c r="AN265" s="79"/>
      <c r="AO265" s="79"/>
      <c r="AP265" s="133"/>
      <c r="AQ265" s="133" t="str">
        <f t="shared" si="159"/>
        <v>0-20</v>
      </c>
      <c r="AR265" s="133">
        <f t="shared" si="160"/>
        <v>3844.3574443810608</v>
      </c>
      <c r="AS265" s="131"/>
      <c r="AT265" s="131"/>
      <c r="AU265" s="4"/>
    </row>
    <row r="266" spans="1:47" s="14" customFormat="1" x14ac:dyDescent="0.25">
      <c r="A266" s="32">
        <v>257</v>
      </c>
      <c r="B266" s="13" t="s">
        <v>21</v>
      </c>
      <c r="C266" s="89"/>
      <c r="D266" s="89" t="s">
        <v>1107</v>
      </c>
      <c r="E266" s="89" t="s">
        <v>1108</v>
      </c>
      <c r="F266" s="71" t="s">
        <v>1109</v>
      </c>
      <c r="G266" s="6" t="s">
        <v>525</v>
      </c>
      <c r="H266" s="33">
        <v>400703</v>
      </c>
      <c r="I266" s="90">
        <v>83</v>
      </c>
      <c r="J266" s="90" t="str">
        <f t="shared" si="146"/>
        <v>81-110</v>
      </c>
      <c r="K266" s="91">
        <f t="shared" si="147"/>
        <v>8747.8561594387575</v>
      </c>
      <c r="L266" s="35">
        <v>22</v>
      </c>
      <c r="M266" s="35" t="str">
        <f t="shared" si="148"/>
        <v>21-30</v>
      </c>
      <c r="N266" s="36">
        <f t="shared" si="145"/>
        <v>4508.6394748902885</v>
      </c>
      <c r="O266" s="51">
        <v>53</v>
      </c>
      <c r="P266" s="51" t="str">
        <f t="shared" si="153"/>
        <v>51-80</v>
      </c>
      <c r="Q266" s="51">
        <f t="shared" si="149"/>
        <v>6509</v>
      </c>
      <c r="R266" s="49">
        <v>30</v>
      </c>
      <c r="S266" s="49" t="str">
        <f t="shared" si="150"/>
        <v>21-30</v>
      </c>
      <c r="T266" s="49">
        <f t="shared" si="151"/>
        <v>4508.6394748902885</v>
      </c>
      <c r="U266" s="50">
        <v>17</v>
      </c>
      <c r="V266" s="50" t="str">
        <f t="shared" si="154"/>
        <v>0-20</v>
      </c>
      <c r="W266" s="50">
        <f t="shared" si="152"/>
        <v>3844.3574443810608</v>
      </c>
      <c r="X266" s="143" t="s">
        <v>1458</v>
      </c>
      <c r="Y266" s="143" t="e">
        <f t="shared" si="155"/>
        <v>#N/A</v>
      </c>
      <c r="Z266" s="143" t="e">
        <f t="shared" si="156"/>
        <v>#N/A</v>
      </c>
      <c r="AA266" s="116"/>
      <c r="AB266" s="114" t="str">
        <f t="shared" si="157"/>
        <v>0-20</v>
      </c>
      <c r="AC266" s="114">
        <f t="shared" si="158"/>
        <v>3844.3574443810608</v>
      </c>
      <c r="AD266" s="129"/>
      <c r="AE266" s="129" t="str">
        <f t="shared" si="138"/>
        <v>0-20</v>
      </c>
      <c r="AF266" s="129">
        <f t="shared" si="139"/>
        <v>3844.3574443810608</v>
      </c>
      <c r="AG266" s="138">
        <v>103</v>
      </c>
      <c r="AH266" s="138" t="str">
        <f t="shared" si="140"/>
        <v>81-110</v>
      </c>
      <c r="AI266" s="138">
        <f t="shared" si="141"/>
        <v>8747.8561594387575</v>
      </c>
      <c r="AJ266" s="36"/>
      <c r="AK266" s="36"/>
      <c r="AL266" s="37"/>
      <c r="AM266" s="79"/>
      <c r="AN266" s="79"/>
      <c r="AO266" s="79"/>
      <c r="AP266" s="133"/>
      <c r="AQ266" s="133" t="str">
        <f t="shared" si="159"/>
        <v>0-20</v>
      </c>
      <c r="AR266" s="133">
        <f t="shared" si="160"/>
        <v>3844.3574443810608</v>
      </c>
      <c r="AS266" s="131"/>
      <c r="AT266" s="131"/>
      <c r="AU266" s="4"/>
    </row>
    <row r="267" spans="1:47" s="14" customFormat="1" x14ac:dyDescent="0.25">
      <c r="A267" s="32">
        <v>258</v>
      </c>
      <c r="B267" s="13" t="s">
        <v>21</v>
      </c>
      <c r="C267" s="89"/>
      <c r="D267" t="s">
        <v>1110</v>
      </c>
      <c r="E267" t="s">
        <v>1111</v>
      </c>
      <c r="F267" s="71" t="s">
        <v>1112</v>
      </c>
      <c r="G267" s="6" t="s">
        <v>1125</v>
      </c>
      <c r="H267" s="33">
        <v>400092</v>
      </c>
      <c r="I267" s="90">
        <v>142</v>
      </c>
      <c r="J267" s="90" t="str">
        <f t="shared" si="146"/>
        <v>110-130</v>
      </c>
      <c r="K267" s="91">
        <f t="shared" si="147"/>
        <v>10159.810450732197</v>
      </c>
      <c r="L267" s="35">
        <v>40</v>
      </c>
      <c r="M267" s="35" t="str">
        <f t="shared" si="148"/>
        <v>31-50</v>
      </c>
      <c r="N267" s="36">
        <f t="shared" si="145"/>
        <v>5073.1976040297868</v>
      </c>
      <c r="O267" s="51">
        <v>40</v>
      </c>
      <c r="P267" s="51" t="str">
        <f t="shared" si="153"/>
        <v>31-50</v>
      </c>
      <c r="Q267" s="51">
        <f t="shared" si="149"/>
        <v>5073.1976040297868</v>
      </c>
      <c r="R267" s="49">
        <v>36</v>
      </c>
      <c r="S267" s="49" t="str">
        <f t="shared" si="150"/>
        <v>31-50</v>
      </c>
      <c r="T267" s="49">
        <f t="shared" si="151"/>
        <v>5073.1976040297868</v>
      </c>
      <c r="U267" s="50">
        <v>46</v>
      </c>
      <c r="V267" s="50" t="str">
        <f t="shared" si="154"/>
        <v>31-50</v>
      </c>
      <c r="W267" s="50">
        <f t="shared" si="152"/>
        <v>5073.1976040297868</v>
      </c>
      <c r="X267" s="143" t="s">
        <v>1458</v>
      </c>
      <c r="Y267" s="143" t="e">
        <f t="shared" si="155"/>
        <v>#N/A</v>
      </c>
      <c r="Z267" s="143" t="e">
        <f t="shared" si="156"/>
        <v>#N/A</v>
      </c>
      <c r="AA267" s="116">
        <v>32</v>
      </c>
      <c r="AB267" s="114" t="str">
        <f t="shared" si="157"/>
        <v>31-50</v>
      </c>
      <c r="AC267" s="114">
        <f t="shared" si="158"/>
        <v>5073.1976040297868</v>
      </c>
      <c r="AD267" s="129"/>
      <c r="AE267" s="129" t="str">
        <f t="shared" si="138"/>
        <v>0-20</v>
      </c>
      <c r="AF267" s="129">
        <f t="shared" si="139"/>
        <v>3844.3574443810608</v>
      </c>
      <c r="AG267" s="138">
        <v>88</v>
      </c>
      <c r="AH267" s="138" t="str">
        <f t="shared" si="140"/>
        <v>81-110</v>
      </c>
      <c r="AI267" s="138">
        <f t="shared" si="141"/>
        <v>8747.8561594387575</v>
      </c>
      <c r="AJ267" s="36"/>
      <c r="AK267" s="36"/>
      <c r="AL267" s="37"/>
      <c r="AM267" s="79"/>
      <c r="AN267" s="79"/>
      <c r="AO267" s="79"/>
      <c r="AP267" s="133"/>
      <c r="AQ267" s="133" t="str">
        <f t="shared" si="159"/>
        <v>0-20</v>
      </c>
      <c r="AR267" s="133">
        <f t="shared" si="160"/>
        <v>3844.3574443810608</v>
      </c>
      <c r="AS267" s="131"/>
      <c r="AT267" s="131"/>
      <c r="AU267" s="4"/>
    </row>
    <row r="268" spans="1:47" s="14" customFormat="1" x14ac:dyDescent="0.25">
      <c r="A268" s="53">
        <v>259</v>
      </c>
      <c r="B268" s="13" t="s">
        <v>21</v>
      </c>
      <c r="C268" s="89"/>
      <c r="D268" s="89" t="s">
        <v>1113</v>
      </c>
      <c r="E268" s="89" t="s">
        <v>1114</v>
      </c>
      <c r="F268" s="71" t="s">
        <v>1115</v>
      </c>
      <c r="G268" s="6" t="s">
        <v>1116</v>
      </c>
      <c r="H268" s="33">
        <v>401607</v>
      </c>
      <c r="I268" s="90">
        <v>196</v>
      </c>
      <c r="J268" s="90" t="str">
        <f t="shared" si="146"/>
        <v>110-130</v>
      </c>
      <c r="K268" s="91">
        <f t="shared" si="147"/>
        <v>10159.810450732197</v>
      </c>
      <c r="L268" s="35">
        <v>102</v>
      </c>
      <c r="M268" s="35" t="str">
        <f t="shared" si="148"/>
        <v>81-110</v>
      </c>
      <c r="N268" s="36">
        <f t="shared" si="145"/>
        <v>8747.8561594387575</v>
      </c>
      <c r="O268" s="51">
        <v>61</v>
      </c>
      <c r="P268" s="51" t="str">
        <f t="shared" si="153"/>
        <v>51-80</v>
      </c>
      <c r="Q268" s="51">
        <f t="shared" si="149"/>
        <v>6509</v>
      </c>
      <c r="R268" s="49">
        <v>107</v>
      </c>
      <c r="S268" s="49" t="str">
        <f t="shared" si="150"/>
        <v>81-110</v>
      </c>
      <c r="T268" s="49">
        <f t="shared" si="151"/>
        <v>8747.8561594387575</v>
      </c>
      <c r="U268" s="50">
        <v>112</v>
      </c>
      <c r="V268" s="50" t="str">
        <f t="shared" si="154"/>
        <v>110-130</v>
      </c>
      <c r="W268" s="50">
        <f t="shared" si="152"/>
        <v>10159.810450732197</v>
      </c>
      <c r="X268" s="143" t="s">
        <v>1458</v>
      </c>
      <c r="Y268" s="143" t="e">
        <f t="shared" si="155"/>
        <v>#N/A</v>
      </c>
      <c r="Z268" s="143" t="e">
        <f t="shared" si="156"/>
        <v>#N/A</v>
      </c>
      <c r="AA268" s="116"/>
      <c r="AB268" s="114" t="str">
        <f t="shared" si="157"/>
        <v>0-20</v>
      </c>
      <c r="AC268" s="114">
        <f t="shared" si="158"/>
        <v>3844.3574443810608</v>
      </c>
      <c r="AD268" s="129"/>
      <c r="AE268" s="129" t="str">
        <f t="shared" si="138"/>
        <v>0-20</v>
      </c>
      <c r="AF268" s="129">
        <f t="shared" si="139"/>
        <v>3844.3574443810608</v>
      </c>
      <c r="AG268" s="138">
        <v>32</v>
      </c>
      <c r="AH268" s="138" t="str">
        <f t="shared" si="140"/>
        <v>31-50</v>
      </c>
      <c r="AI268" s="138">
        <f t="shared" si="141"/>
        <v>5073.1976040297868</v>
      </c>
      <c r="AJ268" s="36"/>
      <c r="AK268" s="36"/>
      <c r="AL268" s="37"/>
      <c r="AM268" s="79"/>
      <c r="AN268" s="79"/>
      <c r="AO268" s="79"/>
      <c r="AP268" s="133"/>
      <c r="AQ268" s="133" t="str">
        <f t="shared" si="159"/>
        <v>0-20</v>
      </c>
      <c r="AR268" s="133">
        <f t="shared" si="160"/>
        <v>3844.3574443810608</v>
      </c>
      <c r="AS268" s="131"/>
      <c r="AT268" s="131"/>
      <c r="AU268" s="4"/>
    </row>
    <row r="269" spans="1:47" s="14" customFormat="1" x14ac:dyDescent="0.25">
      <c r="A269" s="53">
        <v>260</v>
      </c>
      <c r="B269" s="13" t="s">
        <v>21</v>
      </c>
      <c r="C269" s="89"/>
      <c r="D269" s="9" t="s">
        <v>1121</v>
      </c>
      <c r="E269" s="9" t="s">
        <v>1122</v>
      </c>
      <c r="F269" s="71" t="s">
        <v>1123</v>
      </c>
      <c r="G269" s="6" t="s">
        <v>1124</v>
      </c>
      <c r="H269" s="33">
        <v>421302</v>
      </c>
      <c r="I269" s="90">
        <v>105</v>
      </c>
      <c r="J269" s="90" t="str">
        <f t="shared" si="146"/>
        <v>81-110</v>
      </c>
      <c r="K269" s="91">
        <f t="shared" si="147"/>
        <v>8747.8561594387575</v>
      </c>
      <c r="L269" s="35">
        <v>12</v>
      </c>
      <c r="M269" s="35" t="str">
        <f t="shared" si="148"/>
        <v>0-20</v>
      </c>
      <c r="N269" s="36">
        <f t="shared" si="145"/>
        <v>3844.3574443810608</v>
      </c>
      <c r="O269" s="51">
        <v>35</v>
      </c>
      <c r="P269" s="51" t="str">
        <f t="shared" si="153"/>
        <v>31-50</v>
      </c>
      <c r="Q269" s="51">
        <f t="shared" si="149"/>
        <v>5073.1976040297868</v>
      </c>
      <c r="R269" s="49">
        <v>30</v>
      </c>
      <c r="S269" s="49" t="str">
        <f t="shared" si="150"/>
        <v>21-30</v>
      </c>
      <c r="T269" s="49">
        <f t="shared" si="151"/>
        <v>4508.6394748902885</v>
      </c>
      <c r="U269" s="50">
        <v>28</v>
      </c>
      <c r="V269" s="50" t="str">
        <f t="shared" si="154"/>
        <v>21-30</v>
      </c>
      <c r="W269" s="50">
        <f t="shared" si="152"/>
        <v>4508.6394748902885</v>
      </c>
      <c r="X269" s="143">
        <v>24</v>
      </c>
      <c r="Y269" s="143" t="str">
        <f t="shared" si="155"/>
        <v>21-30</v>
      </c>
      <c r="Z269" s="143">
        <f t="shared" si="156"/>
        <v>4508.6394748902885</v>
      </c>
      <c r="AA269" s="116"/>
      <c r="AB269" s="114" t="str">
        <f t="shared" si="157"/>
        <v>0-20</v>
      </c>
      <c r="AC269" s="114">
        <f t="shared" si="158"/>
        <v>3844.3574443810608</v>
      </c>
      <c r="AD269" s="129"/>
      <c r="AE269" s="129" t="str">
        <f t="shared" si="138"/>
        <v>0-20</v>
      </c>
      <c r="AF269" s="129">
        <f t="shared" si="139"/>
        <v>3844.3574443810608</v>
      </c>
      <c r="AG269" s="138">
        <v>75</v>
      </c>
      <c r="AH269" s="138" t="str">
        <f t="shared" si="140"/>
        <v>51-80</v>
      </c>
      <c r="AI269" s="138">
        <f t="shared" si="141"/>
        <v>6509</v>
      </c>
      <c r="AJ269" s="36"/>
      <c r="AK269" s="36"/>
      <c r="AL269" s="37"/>
      <c r="AM269" s="79"/>
      <c r="AN269" s="79"/>
      <c r="AO269" s="79"/>
      <c r="AP269" s="133"/>
      <c r="AQ269" s="133" t="str">
        <f t="shared" si="159"/>
        <v>0-20</v>
      </c>
      <c r="AR269" s="133">
        <f t="shared" si="160"/>
        <v>3844.3574443810608</v>
      </c>
      <c r="AS269" s="131"/>
      <c r="AT269" s="131"/>
      <c r="AU269" s="4"/>
    </row>
    <row r="270" spans="1:47" s="14" customFormat="1" x14ac:dyDescent="0.25">
      <c r="A270" s="53">
        <v>261</v>
      </c>
      <c r="B270" s="13" t="s">
        <v>21</v>
      </c>
      <c r="C270" s="89"/>
      <c r="D270" s="9" t="s">
        <v>1126</v>
      </c>
      <c r="E270" s="9" t="s">
        <v>1127</v>
      </c>
      <c r="F270" s="71" t="s">
        <v>1128</v>
      </c>
      <c r="G270" s="6" t="s">
        <v>794</v>
      </c>
      <c r="H270" s="33">
        <v>401107</v>
      </c>
      <c r="I270" s="90">
        <v>100</v>
      </c>
      <c r="J270" s="90" t="str">
        <f t="shared" si="146"/>
        <v>81-110</v>
      </c>
      <c r="K270" s="91">
        <f t="shared" si="147"/>
        <v>8747.8561594387575</v>
      </c>
      <c r="L270" s="35">
        <v>6</v>
      </c>
      <c r="M270" s="35" t="str">
        <f t="shared" si="148"/>
        <v>0-20</v>
      </c>
      <c r="N270" s="36">
        <f t="shared" si="145"/>
        <v>3844.3574443810608</v>
      </c>
      <c r="O270" s="51">
        <v>34</v>
      </c>
      <c r="P270" s="51" t="str">
        <f t="shared" si="153"/>
        <v>31-50</v>
      </c>
      <c r="Q270" s="51">
        <f t="shared" si="149"/>
        <v>5073.1976040297868</v>
      </c>
      <c r="R270" s="49">
        <v>25</v>
      </c>
      <c r="S270" s="49" t="str">
        <f t="shared" si="150"/>
        <v>21-30</v>
      </c>
      <c r="T270" s="49">
        <f t="shared" si="151"/>
        <v>4508.6394748902885</v>
      </c>
      <c r="U270" s="50">
        <v>22</v>
      </c>
      <c r="V270" s="50" t="str">
        <f t="shared" si="154"/>
        <v>21-30</v>
      </c>
      <c r="W270" s="50">
        <f t="shared" si="152"/>
        <v>4508.6394748902885</v>
      </c>
      <c r="X270" s="143">
        <v>43</v>
      </c>
      <c r="Y270" s="143" t="str">
        <f t="shared" si="155"/>
        <v>31-50</v>
      </c>
      <c r="Z270" s="143">
        <f t="shared" si="156"/>
        <v>5073.1976040297868</v>
      </c>
      <c r="AA270" s="116"/>
      <c r="AB270" s="114" t="str">
        <f t="shared" si="157"/>
        <v>0-20</v>
      </c>
      <c r="AC270" s="114">
        <f t="shared" si="158"/>
        <v>3844.3574443810608</v>
      </c>
      <c r="AD270" s="129"/>
      <c r="AE270" s="129" t="str">
        <f t="shared" si="138"/>
        <v>0-20</v>
      </c>
      <c r="AF270" s="129">
        <f t="shared" si="139"/>
        <v>3844.3574443810608</v>
      </c>
      <c r="AG270" s="138">
        <v>72</v>
      </c>
      <c r="AH270" s="138" t="str">
        <f t="shared" si="140"/>
        <v>51-80</v>
      </c>
      <c r="AI270" s="138">
        <f t="shared" si="141"/>
        <v>6509</v>
      </c>
      <c r="AJ270" s="36"/>
      <c r="AK270" s="36"/>
      <c r="AL270" s="37"/>
      <c r="AM270" s="79"/>
      <c r="AN270" s="79"/>
      <c r="AO270" s="79"/>
      <c r="AP270" s="133"/>
      <c r="AQ270" s="133" t="str">
        <f t="shared" si="159"/>
        <v>0-20</v>
      </c>
      <c r="AR270" s="133">
        <f t="shared" si="160"/>
        <v>3844.3574443810608</v>
      </c>
      <c r="AS270" s="131"/>
      <c r="AT270" s="131"/>
      <c r="AU270" s="4"/>
    </row>
    <row r="271" spans="1:47" s="14" customFormat="1" x14ac:dyDescent="0.25">
      <c r="A271" s="53">
        <v>262</v>
      </c>
      <c r="B271" s="13" t="s">
        <v>21</v>
      </c>
      <c r="C271" s="89"/>
      <c r="D271" s="89" t="s">
        <v>1129</v>
      </c>
      <c r="E271" s="89" t="s">
        <v>538</v>
      </c>
      <c r="F271" s="71" t="s">
        <v>1130</v>
      </c>
      <c r="G271" s="6" t="s">
        <v>1131</v>
      </c>
      <c r="H271" s="33">
        <v>421311</v>
      </c>
      <c r="I271" s="90">
        <v>107</v>
      </c>
      <c r="J271" s="90" t="str">
        <f t="shared" si="146"/>
        <v>81-110</v>
      </c>
      <c r="K271" s="91">
        <f t="shared" si="147"/>
        <v>8747.8561594387575</v>
      </c>
      <c r="L271" s="35">
        <v>19</v>
      </c>
      <c r="M271" s="35" t="str">
        <f t="shared" si="148"/>
        <v>0-20</v>
      </c>
      <c r="N271" s="36">
        <f t="shared" si="145"/>
        <v>3844.3574443810608</v>
      </c>
      <c r="O271" s="51">
        <v>39</v>
      </c>
      <c r="P271" s="51" t="str">
        <f t="shared" si="153"/>
        <v>31-50</v>
      </c>
      <c r="Q271" s="51">
        <f t="shared" si="149"/>
        <v>5073.1976040297868</v>
      </c>
      <c r="R271" s="49">
        <v>41</v>
      </c>
      <c r="S271" s="49" t="str">
        <f t="shared" si="150"/>
        <v>31-50</v>
      </c>
      <c r="T271" s="49">
        <f t="shared" si="151"/>
        <v>5073.1976040297868</v>
      </c>
      <c r="U271" s="50">
        <v>35</v>
      </c>
      <c r="V271" s="50" t="str">
        <f t="shared" si="154"/>
        <v>31-50</v>
      </c>
      <c r="W271" s="50">
        <f t="shared" si="152"/>
        <v>5073.1976040297868</v>
      </c>
      <c r="X271" s="143">
        <v>15</v>
      </c>
      <c r="Y271" s="143" t="str">
        <f t="shared" si="155"/>
        <v>0-20</v>
      </c>
      <c r="Z271" s="143">
        <f t="shared" si="156"/>
        <v>3844.3574443810608</v>
      </c>
      <c r="AA271" s="116"/>
      <c r="AB271" s="114" t="str">
        <f t="shared" si="157"/>
        <v>0-20</v>
      </c>
      <c r="AC271" s="114">
        <f t="shared" si="158"/>
        <v>3844.3574443810608</v>
      </c>
      <c r="AD271" s="129"/>
      <c r="AE271" s="129" t="str">
        <f t="shared" si="138"/>
        <v>0-20</v>
      </c>
      <c r="AF271" s="129">
        <f t="shared" si="139"/>
        <v>3844.3574443810608</v>
      </c>
      <c r="AG271" s="138">
        <v>78</v>
      </c>
      <c r="AH271" s="138" t="str">
        <f t="shared" si="140"/>
        <v>51-80</v>
      </c>
      <c r="AI271" s="138">
        <f t="shared" si="141"/>
        <v>6509</v>
      </c>
      <c r="AJ271" s="36"/>
      <c r="AK271" s="36"/>
      <c r="AL271" s="37"/>
      <c r="AM271" s="79"/>
      <c r="AN271" s="79"/>
      <c r="AO271" s="79"/>
      <c r="AP271" s="133"/>
      <c r="AQ271" s="133" t="str">
        <f t="shared" si="159"/>
        <v>0-20</v>
      </c>
      <c r="AR271" s="133">
        <f t="shared" si="160"/>
        <v>3844.3574443810608</v>
      </c>
      <c r="AS271" s="131"/>
      <c r="AT271" s="131"/>
      <c r="AU271" s="4"/>
    </row>
    <row r="272" spans="1:47" s="14" customFormat="1" x14ac:dyDescent="0.25">
      <c r="A272" s="53">
        <v>263</v>
      </c>
      <c r="B272" s="13" t="s">
        <v>21</v>
      </c>
      <c r="C272" s="89"/>
      <c r="D272" s="89" t="s">
        <v>1132</v>
      </c>
      <c r="E272" s="89" t="s">
        <v>1133</v>
      </c>
      <c r="F272" s="71" t="s">
        <v>1134</v>
      </c>
      <c r="G272" s="6" t="s">
        <v>608</v>
      </c>
      <c r="H272" s="33">
        <v>400705</v>
      </c>
      <c r="I272" s="90">
        <v>84</v>
      </c>
      <c r="J272" s="90" t="str">
        <f t="shared" si="146"/>
        <v>81-110</v>
      </c>
      <c r="K272" s="91">
        <f t="shared" si="147"/>
        <v>8747.8561594387575</v>
      </c>
      <c r="L272" s="35">
        <v>33</v>
      </c>
      <c r="M272" s="35" t="str">
        <f t="shared" si="148"/>
        <v>31-50</v>
      </c>
      <c r="N272" s="36">
        <f t="shared" ref="N272:N303" si="161">VLOOKUP(M272,$AW$3:$AX$9,2,0)</f>
        <v>5073.1976040297868</v>
      </c>
      <c r="O272" s="51">
        <v>59</v>
      </c>
      <c r="P272" s="51" t="str">
        <f t="shared" si="153"/>
        <v>51-80</v>
      </c>
      <c r="Q272" s="51">
        <f t="shared" si="149"/>
        <v>6509</v>
      </c>
      <c r="R272" s="49">
        <v>27</v>
      </c>
      <c r="S272" s="49" t="str">
        <f t="shared" si="150"/>
        <v>21-30</v>
      </c>
      <c r="T272" s="49">
        <f t="shared" si="151"/>
        <v>4508.6394748902885</v>
      </c>
      <c r="U272" s="50">
        <v>21</v>
      </c>
      <c r="V272" s="50" t="str">
        <f t="shared" si="154"/>
        <v>21-30</v>
      </c>
      <c r="W272" s="50">
        <f t="shared" si="152"/>
        <v>4508.6394748902885</v>
      </c>
      <c r="X272" s="143" t="s">
        <v>1458</v>
      </c>
      <c r="Y272" s="143" t="e">
        <f t="shared" si="155"/>
        <v>#N/A</v>
      </c>
      <c r="Z272" s="143" t="e">
        <f t="shared" si="156"/>
        <v>#N/A</v>
      </c>
      <c r="AA272" s="116"/>
      <c r="AB272" s="114" t="str">
        <f t="shared" si="157"/>
        <v>0-20</v>
      </c>
      <c r="AC272" s="114">
        <f t="shared" si="158"/>
        <v>3844.3574443810608</v>
      </c>
      <c r="AD272" s="129"/>
      <c r="AE272" s="129" t="str">
        <f t="shared" si="138"/>
        <v>0-20</v>
      </c>
      <c r="AF272" s="129">
        <f t="shared" si="139"/>
        <v>3844.3574443810608</v>
      </c>
      <c r="AG272" s="138">
        <v>104</v>
      </c>
      <c r="AH272" s="138" t="str">
        <f t="shared" si="140"/>
        <v>81-110</v>
      </c>
      <c r="AI272" s="138">
        <f t="shared" si="141"/>
        <v>8747.8561594387575</v>
      </c>
      <c r="AJ272" s="36"/>
      <c r="AK272" s="36"/>
      <c r="AL272" s="37"/>
      <c r="AM272" s="79"/>
      <c r="AN272" s="79"/>
      <c r="AO272" s="79"/>
      <c r="AP272" s="133"/>
      <c r="AQ272" s="133" t="str">
        <f t="shared" si="159"/>
        <v>0-20</v>
      </c>
      <c r="AR272" s="133">
        <f t="shared" si="160"/>
        <v>3844.3574443810608</v>
      </c>
      <c r="AS272" s="131"/>
      <c r="AT272" s="131"/>
      <c r="AU272" s="4"/>
    </row>
    <row r="273" spans="1:51" s="14" customFormat="1" x14ac:dyDescent="0.25">
      <c r="A273" s="53">
        <v>264</v>
      </c>
      <c r="B273" s="13" t="s">
        <v>21</v>
      </c>
      <c r="C273" s="89"/>
      <c r="D273" s="89" t="s">
        <v>1135</v>
      </c>
      <c r="E273" s="89" t="s">
        <v>1136</v>
      </c>
      <c r="F273" s="71" t="s">
        <v>1141</v>
      </c>
      <c r="G273" s="6" t="s">
        <v>1142</v>
      </c>
      <c r="H273" s="33">
        <v>421302</v>
      </c>
      <c r="I273" s="90">
        <v>125</v>
      </c>
      <c r="J273" s="90" t="str">
        <f t="shared" si="146"/>
        <v>110-130</v>
      </c>
      <c r="K273" s="91">
        <f t="shared" si="147"/>
        <v>10159.810450732197</v>
      </c>
      <c r="L273" s="35">
        <v>38</v>
      </c>
      <c r="M273" s="35" t="str">
        <f t="shared" si="148"/>
        <v>31-50</v>
      </c>
      <c r="N273" s="36">
        <f t="shared" si="161"/>
        <v>5073.1976040297868</v>
      </c>
      <c r="O273" s="51">
        <v>30</v>
      </c>
      <c r="P273" s="51" t="str">
        <f t="shared" si="153"/>
        <v>21-30</v>
      </c>
      <c r="Q273" s="51">
        <f t="shared" si="149"/>
        <v>4508.6394748902885</v>
      </c>
      <c r="R273" s="49">
        <v>56</v>
      </c>
      <c r="S273" s="49" t="str">
        <f t="shared" si="150"/>
        <v>51-80</v>
      </c>
      <c r="T273" s="49">
        <f t="shared" si="151"/>
        <v>6509</v>
      </c>
      <c r="U273" s="50">
        <v>50</v>
      </c>
      <c r="V273" s="50" t="str">
        <f t="shared" si="154"/>
        <v>31-50</v>
      </c>
      <c r="W273" s="50">
        <f t="shared" si="152"/>
        <v>5073.1976040297868</v>
      </c>
      <c r="X273" s="143">
        <v>23</v>
      </c>
      <c r="Y273" s="143" t="str">
        <f t="shared" si="155"/>
        <v>21-30</v>
      </c>
      <c r="Z273" s="143">
        <f t="shared" si="156"/>
        <v>4508.6394748902885</v>
      </c>
      <c r="AA273" s="116"/>
      <c r="AB273" s="114" t="str">
        <f t="shared" si="157"/>
        <v>0-20</v>
      </c>
      <c r="AC273" s="114">
        <f t="shared" si="158"/>
        <v>3844.3574443810608</v>
      </c>
      <c r="AD273" s="129"/>
      <c r="AE273" s="129" t="str">
        <f t="shared" si="138"/>
        <v>0-20</v>
      </c>
      <c r="AF273" s="129">
        <f t="shared" si="139"/>
        <v>3844.3574443810608</v>
      </c>
      <c r="AG273" s="138">
        <v>75</v>
      </c>
      <c r="AH273" s="138" t="str">
        <f t="shared" si="140"/>
        <v>51-80</v>
      </c>
      <c r="AI273" s="138">
        <f t="shared" si="141"/>
        <v>6509</v>
      </c>
      <c r="AJ273" s="36"/>
      <c r="AK273" s="36"/>
      <c r="AL273" s="37"/>
      <c r="AM273" s="79"/>
      <c r="AN273" s="79"/>
      <c r="AO273" s="79"/>
      <c r="AP273" s="133"/>
      <c r="AQ273" s="133" t="str">
        <f t="shared" si="159"/>
        <v>0-20</v>
      </c>
      <c r="AR273" s="133">
        <f t="shared" si="160"/>
        <v>3844.3574443810608</v>
      </c>
      <c r="AS273" s="131"/>
      <c r="AT273" s="131"/>
      <c r="AU273" s="4"/>
    </row>
    <row r="274" spans="1:51" s="14" customFormat="1" x14ac:dyDescent="0.25">
      <c r="A274" s="53">
        <v>265</v>
      </c>
      <c r="B274" s="13" t="s">
        <v>21</v>
      </c>
      <c r="C274" s="89"/>
      <c r="D274" s="89" t="s">
        <v>1137</v>
      </c>
      <c r="E274" s="89" t="s">
        <v>1138</v>
      </c>
      <c r="F274" s="71" t="s">
        <v>1143</v>
      </c>
      <c r="G274" s="6" t="s">
        <v>1144</v>
      </c>
      <c r="H274" s="33">
        <v>421302</v>
      </c>
      <c r="I274" s="90">
        <v>113</v>
      </c>
      <c r="J274" s="90" t="str">
        <f t="shared" si="146"/>
        <v>110-130</v>
      </c>
      <c r="K274" s="91">
        <f t="shared" si="147"/>
        <v>10159.810450732197</v>
      </c>
      <c r="L274" s="35">
        <v>25</v>
      </c>
      <c r="M274" s="35" t="str">
        <f t="shared" si="148"/>
        <v>21-30</v>
      </c>
      <c r="N274" s="36">
        <f t="shared" si="161"/>
        <v>4508.6394748902885</v>
      </c>
      <c r="O274" s="51">
        <v>34</v>
      </c>
      <c r="P274" s="51" t="str">
        <f t="shared" si="153"/>
        <v>31-50</v>
      </c>
      <c r="Q274" s="51">
        <f t="shared" si="149"/>
        <v>5073.1976040297868</v>
      </c>
      <c r="R274" s="49">
        <v>43</v>
      </c>
      <c r="S274" s="49" t="str">
        <f t="shared" si="150"/>
        <v>31-50</v>
      </c>
      <c r="T274" s="49">
        <f t="shared" si="151"/>
        <v>5073.1976040297868</v>
      </c>
      <c r="U274" s="50">
        <v>37</v>
      </c>
      <c r="V274" s="50" t="str">
        <f t="shared" si="154"/>
        <v>31-50</v>
      </c>
      <c r="W274" s="50">
        <f t="shared" si="152"/>
        <v>5073.1976040297868</v>
      </c>
      <c r="X274" s="143">
        <v>7</v>
      </c>
      <c r="Y274" s="143" t="str">
        <f t="shared" si="155"/>
        <v>0-20</v>
      </c>
      <c r="Z274" s="143">
        <f t="shared" si="156"/>
        <v>3844.3574443810608</v>
      </c>
      <c r="AA274" s="116"/>
      <c r="AB274" s="114" t="str">
        <f t="shared" si="157"/>
        <v>0-20</v>
      </c>
      <c r="AC274" s="114">
        <f t="shared" si="158"/>
        <v>3844.3574443810608</v>
      </c>
      <c r="AD274" s="129">
        <v>40</v>
      </c>
      <c r="AE274" s="129" t="str">
        <f t="shared" si="138"/>
        <v>31-50</v>
      </c>
      <c r="AF274" s="129">
        <f t="shared" si="139"/>
        <v>5073.1976040297868</v>
      </c>
      <c r="AG274" s="138">
        <v>75</v>
      </c>
      <c r="AH274" s="138" t="str">
        <f t="shared" si="140"/>
        <v>51-80</v>
      </c>
      <c r="AI274" s="138">
        <f t="shared" si="141"/>
        <v>6509</v>
      </c>
      <c r="AJ274" s="36"/>
      <c r="AK274" s="36"/>
      <c r="AL274" s="37"/>
      <c r="AM274" s="79"/>
      <c r="AN274" s="79"/>
      <c r="AO274" s="79"/>
      <c r="AP274" s="133"/>
      <c r="AQ274" s="133" t="str">
        <f t="shared" ref="AQ274" si="162">VLOOKUP(AP274,$AV$4:$AW$9,2,1)</f>
        <v>0-20</v>
      </c>
      <c r="AR274" s="133">
        <f t="shared" ref="AR274" si="163">VLOOKUP(AQ274,$AW$3:$AX$9,2,0)</f>
        <v>3844.3574443810608</v>
      </c>
      <c r="AS274" s="131"/>
      <c r="AT274" s="131"/>
      <c r="AU274" s="4"/>
      <c r="AV274" s="114"/>
      <c r="AW274" s="114"/>
    </row>
    <row r="275" spans="1:51" s="14" customFormat="1" x14ac:dyDescent="0.25">
      <c r="A275" s="53">
        <v>266</v>
      </c>
      <c r="B275" s="13" t="s">
        <v>21</v>
      </c>
      <c r="C275" s="89"/>
      <c r="D275" s="89" t="s">
        <v>1139</v>
      </c>
      <c r="E275" s="89" t="s">
        <v>1140</v>
      </c>
      <c r="F275" s="71" t="s">
        <v>1145</v>
      </c>
      <c r="G275" s="6" t="s">
        <v>1146</v>
      </c>
      <c r="H275" s="33">
        <v>421203</v>
      </c>
      <c r="I275" s="90">
        <v>95</v>
      </c>
      <c r="J275" s="90" t="str">
        <f t="shared" si="146"/>
        <v>81-110</v>
      </c>
      <c r="K275" s="91">
        <f t="shared" si="147"/>
        <v>8747.8561594387575</v>
      </c>
      <c r="L275" s="35">
        <v>29</v>
      </c>
      <c r="M275" s="35" t="str">
        <f t="shared" si="148"/>
        <v>21-30</v>
      </c>
      <c r="N275" s="36">
        <f t="shared" si="161"/>
        <v>4508.6394748902885</v>
      </c>
      <c r="O275" s="51">
        <v>49</v>
      </c>
      <c r="P275" s="51" t="str">
        <f t="shared" si="153"/>
        <v>31-50</v>
      </c>
      <c r="Q275" s="51">
        <f t="shared" si="149"/>
        <v>5073.1976040297868</v>
      </c>
      <c r="R275" s="49">
        <v>40</v>
      </c>
      <c r="S275" s="49" t="str">
        <f t="shared" si="150"/>
        <v>31-50</v>
      </c>
      <c r="T275" s="49">
        <f t="shared" si="151"/>
        <v>5073.1976040297868</v>
      </c>
      <c r="U275" s="50">
        <v>38</v>
      </c>
      <c r="V275" s="50" t="str">
        <f t="shared" si="154"/>
        <v>31-50</v>
      </c>
      <c r="W275" s="50">
        <f t="shared" si="152"/>
        <v>5073.1976040297868</v>
      </c>
      <c r="X275" s="143">
        <v>22</v>
      </c>
      <c r="Y275" s="143" t="str">
        <f t="shared" si="155"/>
        <v>21-30</v>
      </c>
      <c r="Z275" s="143">
        <f t="shared" si="156"/>
        <v>4508.6394748902885</v>
      </c>
      <c r="AA275" s="116"/>
      <c r="AB275" s="114" t="str">
        <f t="shared" si="157"/>
        <v>0-20</v>
      </c>
      <c r="AC275" s="114">
        <f t="shared" si="158"/>
        <v>3844.3574443810608</v>
      </c>
      <c r="AD275" s="129"/>
      <c r="AE275" s="129" t="str">
        <f t="shared" si="138"/>
        <v>0-20</v>
      </c>
      <c r="AF275" s="129">
        <f t="shared" si="139"/>
        <v>3844.3574443810608</v>
      </c>
      <c r="AG275" s="138">
        <v>80</v>
      </c>
      <c r="AH275" s="138" t="str">
        <f t="shared" si="140"/>
        <v>51-80</v>
      </c>
      <c r="AI275" s="138">
        <f t="shared" si="141"/>
        <v>6509</v>
      </c>
      <c r="AJ275" s="36"/>
      <c r="AK275" s="36"/>
      <c r="AL275" s="37"/>
      <c r="AM275" s="79"/>
      <c r="AN275" s="79"/>
      <c r="AO275" s="79"/>
      <c r="AP275" s="133"/>
      <c r="AQ275" s="133" t="str">
        <f t="shared" ref="AQ275:AQ308" si="164">VLOOKUP(AP275,$AV$4:$AW$9,2,1)</f>
        <v>0-20</v>
      </c>
      <c r="AR275" s="133">
        <f t="shared" ref="AR275:AR308" si="165">VLOOKUP(AQ275,$AW$3:$AX$9,2,0)</f>
        <v>3844.3574443810608</v>
      </c>
      <c r="AS275" s="131"/>
      <c r="AT275" s="131"/>
      <c r="AU275" s="4"/>
    </row>
    <row r="276" spans="1:51" s="14" customFormat="1" x14ac:dyDescent="0.25">
      <c r="A276" s="53"/>
      <c r="B276" s="13" t="s">
        <v>21</v>
      </c>
      <c r="C276" s="89"/>
      <c r="D276" s="89" t="s">
        <v>1147</v>
      </c>
      <c r="E276" s="89" t="s">
        <v>1148</v>
      </c>
      <c r="F276" s="71" t="s">
        <v>1149</v>
      </c>
      <c r="G276" s="6" t="s">
        <v>1144</v>
      </c>
      <c r="H276" s="33">
        <v>421302</v>
      </c>
      <c r="I276" s="90">
        <v>120</v>
      </c>
      <c r="J276" s="90" t="str">
        <f t="shared" si="146"/>
        <v>110-130</v>
      </c>
      <c r="K276" s="91">
        <f t="shared" si="147"/>
        <v>10159.810450732197</v>
      </c>
      <c r="L276" s="35">
        <v>31</v>
      </c>
      <c r="M276" s="35" t="str">
        <f t="shared" si="148"/>
        <v>31-50</v>
      </c>
      <c r="N276" s="36">
        <f t="shared" si="161"/>
        <v>5073.1976040297868</v>
      </c>
      <c r="O276" s="51">
        <v>44</v>
      </c>
      <c r="P276" s="51" t="str">
        <f t="shared" si="153"/>
        <v>31-50</v>
      </c>
      <c r="Q276" s="51">
        <f t="shared" si="149"/>
        <v>5073.1976040297868</v>
      </c>
      <c r="R276" s="49">
        <v>52</v>
      </c>
      <c r="S276" s="49" t="str">
        <f t="shared" si="150"/>
        <v>51-80</v>
      </c>
      <c r="T276" s="49">
        <f t="shared" si="151"/>
        <v>6509</v>
      </c>
      <c r="U276" s="50">
        <v>48</v>
      </c>
      <c r="V276" s="50" t="str">
        <f t="shared" si="154"/>
        <v>31-50</v>
      </c>
      <c r="W276" s="50">
        <f t="shared" si="152"/>
        <v>5073.1976040297868</v>
      </c>
      <c r="X276" s="143" t="s">
        <v>1458</v>
      </c>
      <c r="Y276" s="143" t="e">
        <f t="shared" si="155"/>
        <v>#N/A</v>
      </c>
      <c r="Z276" s="143" t="e">
        <f t="shared" si="156"/>
        <v>#N/A</v>
      </c>
      <c r="AA276" s="116"/>
      <c r="AB276" s="114" t="str">
        <f t="shared" si="157"/>
        <v>0-20</v>
      </c>
      <c r="AC276" s="114">
        <f t="shared" si="158"/>
        <v>3844.3574443810608</v>
      </c>
      <c r="AD276" s="129"/>
      <c r="AE276" s="129" t="str">
        <f t="shared" si="138"/>
        <v>0-20</v>
      </c>
      <c r="AF276" s="129">
        <f t="shared" si="139"/>
        <v>3844.3574443810608</v>
      </c>
      <c r="AG276" s="138">
        <v>75</v>
      </c>
      <c r="AH276" s="138" t="str">
        <f t="shared" si="140"/>
        <v>51-80</v>
      </c>
      <c r="AI276" s="138">
        <f t="shared" si="141"/>
        <v>6509</v>
      </c>
      <c r="AJ276" s="36"/>
      <c r="AK276" s="36"/>
      <c r="AL276" s="37"/>
      <c r="AM276" s="79"/>
      <c r="AN276" s="79"/>
      <c r="AO276" s="79"/>
      <c r="AP276" s="133"/>
      <c r="AQ276" s="133" t="str">
        <f t="shared" si="164"/>
        <v>0-20</v>
      </c>
      <c r="AR276" s="133">
        <f t="shared" si="165"/>
        <v>3844.3574443810608</v>
      </c>
      <c r="AS276" s="131"/>
      <c r="AT276" s="131"/>
      <c r="AU276" s="4"/>
    </row>
    <row r="277" spans="1:51" s="14" customFormat="1" x14ac:dyDescent="0.25">
      <c r="A277" s="53"/>
      <c r="B277" s="13" t="s">
        <v>21</v>
      </c>
      <c r="C277" s="89"/>
      <c r="D277" s="89" t="s">
        <v>1153</v>
      </c>
      <c r="E277" s="89" t="s">
        <v>1154</v>
      </c>
      <c r="F277" s="71" t="s">
        <v>1155</v>
      </c>
      <c r="G277" s="6" t="s">
        <v>1156</v>
      </c>
      <c r="H277" s="33">
        <v>400706</v>
      </c>
      <c r="I277" s="90">
        <v>83</v>
      </c>
      <c r="J277" s="90" t="str">
        <f t="shared" si="146"/>
        <v>81-110</v>
      </c>
      <c r="K277" s="91">
        <f t="shared" si="147"/>
        <v>8747.8561594387575</v>
      </c>
      <c r="L277" s="35">
        <v>33</v>
      </c>
      <c r="M277" s="35" t="str">
        <f t="shared" si="148"/>
        <v>31-50</v>
      </c>
      <c r="N277" s="36">
        <f t="shared" si="161"/>
        <v>5073.1976040297868</v>
      </c>
      <c r="O277" s="51">
        <v>54</v>
      </c>
      <c r="P277" s="51" t="str">
        <f t="shared" si="153"/>
        <v>51-80</v>
      </c>
      <c r="Q277" s="51">
        <f t="shared" si="149"/>
        <v>6509</v>
      </c>
      <c r="R277" s="49">
        <v>27</v>
      </c>
      <c r="S277" s="49" t="str">
        <f t="shared" si="150"/>
        <v>21-30</v>
      </c>
      <c r="T277" s="49">
        <f t="shared" si="151"/>
        <v>4508.6394748902885</v>
      </c>
      <c r="U277" s="50">
        <v>22</v>
      </c>
      <c r="V277" s="50" t="str">
        <f t="shared" si="154"/>
        <v>21-30</v>
      </c>
      <c r="W277" s="50">
        <f t="shared" si="152"/>
        <v>4508.6394748902885</v>
      </c>
      <c r="X277" s="143" t="s">
        <v>1458</v>
      </c>
      <c r="Y277" s="143" t="e">
        <f t="shared" si="155"/>
        <v>#N/A</v>
      </c>
      <c r="Z277" s="143" t="e">
        <f t="shared" si="156"/>
        <v>#N/A</v>
      </c>
      <c r="AA277" s="116"/>
      <c r="AB277" s="114" t="str">
        <f t="shared" si="157"/>
        <v>0-20</v>
      </c>
      <c r="AC277" s="114">
        <f t="shared" si="158"/>
        <v>3844.3574443810608</v>
      </c>
      <c r="AD277" s="129"/>
      <c r="AE277" s="129" t="str">
        <f t="shared" ref="AE277:AE331" si="166">VLOOKUP(AD277,$AV$4:$AW$9,2,1)</f>
        <v>0-20</v>
      </c>
      <c r="AF277" s="129">
        <f t="shared" ref="AF277:AF331" si="167">VLOOKUP(AE277,$AW$3:$AX$9,2,0)</f>
        <v>3844.3574443810608</v>
      </c>
      <c r="AG277" s="138">
        <v>108</v>
      </c>
      <c r="AH277" s="138" t="str">
        <f t="shared" si="140"/>
        <v>81-110</v>
      </c>
      <c r="AI277" s="138">
        <f t="shared" si="141"/>
        <v>8747.8561594387575</v>
      </c>
      <c r="AJ277" s="36"/>
      <c r="AK277" s="36"/>
      <c r="AL277" s="37"/>
      <c r="AM277" s="79"/>
      <c r="AN277" s="79"/>
      <c r="AO277" s="79"/>
      <c r="AP277" s="133"/>
      <c r="AQ277" s="133" t="str">
        <f t="shared" si="164"/>
        <v>0-20</v>
      </c>
      <c r="AR277" s="133">
        <f t="shared" si="165"/>
        <v>3844.3574443810608</v>
      </c>
      <c r="AS277" s="131"/>
      <c r="AT277" s="131"/>
      <c r="AU277" s="4"/>
    </row>
    <row r="278" spans="1:51" s="14" customFormat="1" x14ac:dyDescent="0.25">
      <c r="A278" s="53"/>
      <c r="B278" s="13" t="s">
        <v>21</v>
      </c>
      <c r="C278" s="89"/>
      <c r="D278" s="89" t="s">
        <v>1157</v>
      </c>
      <c r="E278" s="89" t="s">
        <v>1158</v>
      </c>
      <c r="F278" s="71" t="s">
        <v>1159</v>
      </c>
      <c r="G278" s="6" t="s">
        <v>1144</v>
      </c>
      <c r="H278" s="33">
        <v>421302</v>
      </c>
      <c r="I278" s="90">
        <v>110</v>
      </c>
      <c r="J278" s="90" t="str">
        <f t="shared" si="146"/>
        <v>110-130</v>
      </c>
      <c r="K278" s="91">
        <f t="shared" si="147"/>
        <v>10159.810450732197</v>
      </c>
      <c r="L278" s="35">
        <v>23</v>
      </c>
      <c r="M278" s="35" t="str">
        <f t="shared" si="148"/>
        <v>21-30</v>
      </c>
      <c r="N278" s="36">
        <f t="shared" si="161"/>
        <v>4508.6394748902885</v>
      </c>
      <c r="O278" s="51">
        <v>35</v>
      </c>
      <c r="P278" s="51" t="str">
        <f t="shared" si="153"/>
        <v>31-50</v>
      </c>
      <c r="Q278" s="51">
        <f t="shared" si="149"/>
        <v>5073.1976040297868</v>
      </c>
      <c r="R278" s="49">
        <v>41</v>
      </c>
      <c r="S278" s="49" t="str">
        <f t="shared" si="150"/>
        <v>31-50</v>
      </c>
      <c r="T278" s="49">
        <f t="shared" si="151"/>
        <v>5073.1976040297868</v>
      </c>
      <c r="U278" s="50">
        <v>38</v>
      </c>
      <c r="V278" s="50" t="str">
        <f t="shared" si="154"/>
        <v>31-50</v>
      </c>
      <c r="W278" s="50">
        <f t="shared" si="152"/>
        <v>5073.1976040297868</v>
      </c>
      <c r="X278" s="143">
        <v>10</v>
      </c>
      <c r="Y278" s="143" t="str">
        <f t="shared" si="155"/>
        <v>0-20</v>
      </c>
      <c r="Z278" s="143">
        <f t="shared" si="156"/>
        <v>3844.3574443810608</v>
      </c>
      <c r="AA278" s="116"/>
      <c r="AB278" s="114" t="str">
        <f t="shared" si="157"/>
        <v>0-20</v>
      </c>
      <c r="AC278" s="114">
        <f t="shared" si="158"/>
        <v>3844.3574443810608</v>
      </c>
      <c r="AD278" s="129"/>
      <c r="AE278" s="129" t="str">
        <f t="shared" si="166"/>
        <v>0-20</v>
      </c>
      <c r="AF278" s="129">
        <f t="shared" si="167"/>
        <v>3844.3574443810608</v>
      </c>
      <c r="AG278" s="138">
        <v>75</v>
      </c>
      <c r="AH278" s="138" t="str">
        <f t="shared" si="140"/>
        <v>51-80</v>
      </c>
      <c r="AI278" s="138">
        <f t="shared" si="141"/>
        <v>6509</v>
      </c>
      <c r="AJ278" s="36"/>
      <c r="AK278" s="36"/>
      <c r="AL278" s="37"/>
      <c r="AM278" s="79"/>
      <c r="AN278" s="79"/>
      <c r="AO278" s="79"/>
      <c r="AP278" s="133"/>
      <c r="AQ278" s="133" t="str">
        <f t="shared" si="164"/>
        <v>0-20</v>
      </c>
      <c r="AR278" s="133">
        <f t="shared" si="165"/>
        <v>3844.3574443810608</v>
      </c>
      <c r="AS278" s="131"/>
      <c r="AT278" s="131"/>
      <c r="AU278" s="4"/>
    </row>
    <row r="279" spans="1:51" s="14" customFormat="1" x14ac:dyDescent="0.25">
      <c r="A279" s="53"/>
      <c r="B279" s="13" t="s">
        <v>21</v>
      </c>
      <c r="C279" s="89"/>
      <c r="D279" s="89" t="s">
        <v>1160</v>
      </c>
      <c r="E279" s="89" t="s">
        <v>1161</v>
      </c>
      <c r="F279" s="71" t="s">
        <v>1162</v>
      </c>
      <c r="G279" s="6" t="s">
        <v>565</v>
      </c>
      <c r="H279" s="33">
        <v>401501</v>
      </c>
      <c r="I279" s="35">
        <v>193</v>
      </c>
      <c r="J279" s="35" t="str">
        <f t="shared" si="146"/>
        <v>110-130</v>
      </c>
      <c r="K279" s="36">
        <f t="shared" si="147"/>
        <v>10159.810450732197</v>
      </c>
      <c r="L279" s="35">
        <v>99</v>
      </c>
      <c r="M279" s="35" t="str">
        <f t="shared" si="148"/>
        <v>81-110</v>
      </c>
      <c r="N279" s="36">
        <f t="shared" si="161"/>
        <v>8747.8561594387575</v>
      </c>
      <c r="O279" s="51">
        <v>55</v>
      </c>
      <c r="P279" s="51" t="str">
        <f t="shared" si="153"/>
        <v>51-80</v>
      </c>
      <c r="Q279" s="51">
        <f t="shared" si="149"/>
        <v>6509</v>
      </c>
      <c r="R279" s="49">
        <v>102</v>
      </c>
      <c r="S279" s="49" t="str">
        <f t="shared" si="150"/>
        <v>81-110</v>
      </c>
      <c r="T279" s="49">
        <f t="shared" si="151"/>
        <v>8747.8561594387575</v>
      </c>
      <c r="U279" s="50">
        <v>112</v>
      </c>
      <c r="V279" s="50" t="str">
        <f t="shared" si="154"/>
        <v>110-130</v>
      </c>
      <c r="W279" s="50">
        <f t="shared" si="152"/>
        <v>10159.810450732197</v>
      </c>
      <c r="X279" s="143">
        <v>92</v>
      </c>
      <c r="Y279" s="143" t="str">
        <f t="shared" si="155"/>
        <v>81-110</v>
      </c>
      <c r="Z279" s="143">
        <f t="shared" si="156"/>
        <v>8747.8561594387575</v>
      </c>
      <c r="AA279" s="116">
        <v>98</v>
      </c>
      <c r="AB279" s="114" t="str">
        <f t="shared" si="157"/>
        <v>81-110</v>
      </c>
      <c r="AC279" s="114">
        <f t="shared" si="158"/>
        <v>8747.8561594387575</v>
      </c>
      <c r="AD279" s="129"/>
      <c r="AE279" s="129" t="str">
        <f t="shared" si="166"/>
        <v>0-20</v>
      </c>
      <c r="AF279" s="129">
        <f t="shared" si="167"/>
        <v>3844.3574443810608</v>
      </c>
      <c r="AG279" s="138">
        <v>37</v>
      </c>
      <c r="AH279" s="138" t="str">
        <f t="shared" si="140"/>
        <v>31-50</v>
      </c>
      <c r="AI279" s="138">
        <f t="shared" si="141"/>
        <v>5073.1976040297868</v>
      </c>
      <c r="AJ279" s="36"/>
      <c r="AK279" s="36"/>
      <c r="AL279" s="37"/>
      <c r="AM279" s="79"/>
      <c r="AN279" s="79"/>
      <c r="AO279" s="79"/>
      <c r="AP279" s="133"/>
      <c r="AQ279" s="133" t="str">
        <f t="shared" si="164"/>
        <v>0-20</v>
      </c>
      <c r="AR279" s="133">
        <f t="shared" si="165"/>
        <v>3844.3574443810608</v>
      </c>
      <c r="AS279" s="131"/>
      <c r="AT279" s="131"/>
      <c r="AU279" s="4"/>
    </row>
    <row r="280" spans="1:51" s="14" customFormat="1" x14ac:dyDescent="0.25">
      <c r="A280" s="53"/>
      <c r="B280" s="13" t="s">
        <v>21</v>
      </c>
      <c r="C280" s="89"/>
      <c r="D280" s="89" t="s">
        <v>1163</v>
      </c>
      <c r="E280" s="89" t="s">
        <v>1164</v>
      </c>
      <c r="F280" s="71" t="s">
        <v>1172</v>
      </c>
      <c r="G280" s="6" t="s">
        <v>171</v>
      </c>
      <c r="H280" s="33">
        <v>421201</v>
      </c>
      <c r="I280" s="90">
        <v>112</v>
      </c>
      <c r="J280" s="90" t="str">
        <f t="shared" si="146"/>
        <v>110-130</v>
      </c>
      <c r="K280" s="91">
        <f t="shared" si="147"/>
        <v>10159.810450732197</v>
      </c>
      <c r="L280" s="35">
        <v>21</v>
      </c>
      <c r="M280" s="35" t="str">
        <f t="shared" si="148"/>
        <v>21-30</v>
      </c>
      <c r="N280" s="36">
        <f t="shared" si="161"/>
        <v>4508.6394748902885</v>
      </c>
      <c r="O280" s="51">
        <v>40</v>
      </c>
      <c r="P280" s="51" t="str">
        <f t="shared" si="153"/>
        <v>31-50</v>
      </c>
      <c r="Q280" s="51">
        <f t="shared" si="149"/>
        <v>5073.1976040297868</v>
      </c>
      <c r="R280" s="49">
        <v>40</v>
      </c>
      <c r="S280" s="49" t="str">
        <f t="shared" si="150"/>
        <v>31-50</v>
      </c>
      <c r="T280" s="49">
        <f t="shared" si="151"/>
        <v>5073.1976040297868</v>
      </c>
      <c r="U280" s="50">
        <v>38</v>
      </c>
      <c r="V280" s="50" t="str">
        <f t="shared" si="154"/>
        <v>31-50</v>
      </c>
      <c r="W280" s="50">
        <f t="shared" si="152"/>
        <v>5073.1976040297868</v>
      </c>
      <c r="X280" s="143">
        <v>10</v>
      </c>
      <c r="Y280" s="143" t="str">
        <f t="shared" si="155"/>
        <v>0-20</v>
      </c>
      <c r="Z280" s="143">
        <f t="shared" si="156"/>
        <v>3844.3574443810608</v>
      </c>
      <c r="AA280" s="116"/>
      <c r="AB280" s="114" t="str">
        <f t="shared" si="157"/>
        <v>0-20</v>
      </c>
      <c r="AC280" s="114">
        <f t="shared" si="158"/>
        <v>3844.3574443810608</v>
      </c>
      <c r="AD280" s="129"/>
      <c r="AE280" s="129" t="str">
        <f t="shared" si="166"/>
        <v>0-20</v>
      </c>
      <c r="AF280" s="129">
        <f t="shared" si="167"/>
        <v>3844.3574443810608</v>
      </c>
      <c r="AG280" s="138">
        <v>85</v>
      </c>
      <c r="AH280" s="138" t="str">
        <f t="shared" si="140"/>
        <v>81-110</v>
      </c>
      <c r="AI280" s="138">
        <f t="shared" si="141"/>
        <v>8747.8561594387575</v>
      </c>
      <c r="AJ280" s="36"/>
      <c r="AK280" s="36"/>
      <c r="AL280" s="37"/>
      <c r="AM280" s="79"/>
      <c r="AN280" s="79"/>
      <c r="AO280" s="79"/>
      <c r="AP280" s="133"/>
      <c r="AQ280" s="133" t="str">
        <f t="shared" si="164"/>
        <v>0-20</v>
      </c>
      <c r="AR280" s="133">
        <f t="shared" si="165"/>
        <v>3844.3574443810608</v>
      </c>
      <c r="AS280" s="131"/>
      <c r="AT280" s="131"/>
      <c r="AU280" s="4"/>
    </row>
    <row r="281" spans="1:51" s="14" customFormat="1" x14ac:dyDescent="0.25">
      <c r="A281" s="53"/>
      <c r="B281" s="13" t="s">
        <v>21</v>
      </c>
      <c r="C281" s="89"/>
      <c r="D281" s="89" t="s">
        <v>1165</v>
      </c>
      <c r="E281" s="89" t="s">
        <v>1166</v>
      </c>
      <c r="F281" s="71" t="s">
        <v>1171</v>
      </c>
      <c r="G281" s="6" t="s">
        <v>1</v>
      </c>
      <c r="H281" s="33">
        <v>400615</v>
      </c>
      <c r="I281" s="35">
        <v>106</v>
      </c>
      <c r="J281" s="35" t="str">
        <f t="shared" si="146"/>
        <v>81-110</v>
      </c>
      <c r="K281" s="36">
        <f t="shared" si="147"/>
        <v>8747.8561594387575</v>
      </c>
      <c r="L281" s="35">
        <v>12</v>
      </c>
      <c r="M281" s="35" t="str">
        <f t="shared" si="148"/>
        <v>0-20</v>
      </c>
      <c r="N281" s="36">
        <f t="shared" si="161"/>
        <v>3844.3574443810608</v>
      </c>
      <c r="O281" s="51">
        <v>31</v>
      </c>
      <c r="P281" s="51" t="str">
        <f t="shared" si="153"/>
        <v>31-50</v>
      </c>
      <c r="Q281" s="51">
        <f t="shared" si="149"/>
        <v>5073.1976040297868</v>
      </c>
      <c r="R281" s="49">
        <v>30</v>
      </c>
      <c r="S281" s="49" t="str">
        <f t="shared" si="150"/>
        <v>21-30</v>
      </c>
      <c r="T281" s="49">
        <f t="shared" si="151"/>
        <v>4508.6394748902885</v>
      </c>
      <c r="U281" s="50">
        <v>27</v>
      </c>
      <c r="V281" s="50" t="str">
        <f t="shared" si="154"/>
        <v>21-30</v>
      </c>
      <c r="W281" s="50">
        <f t="shared" si="152"/>
        <v>4508.6394748902885</v>
      </c>
      <c r="X281" s="143" t="s">
        <v>1458</v>
      </c>
      <c r="Y281" s="143" t="e">
        <f t="shared" si="155"/>
        <v>#N/A</v>
      </c>
      <c r="Z281" s="143" t="e">
        <f t="shared" si="156"/>
        <v>#N/A</v>
      </c>
      <c r="AA281" s="116"/>
      <c r="AB281" s="114" t="str">
        <f t="shared" si="157"/>
        <v>0-20</v>
      </c>
      <c r="AC281" s="114">
        <f t="shared" si="158"/>
        <v>3844.3574443810608</v>
      </c>
      <c r="AD281" s="129"/>
      <c r="AE281" s="129" t="str">
        <f t="shared" si="166"/>
        <v>0-20</v>
      </c>
      <c r="AF281" s="129">
        <f t="shared" si="167"/>
        <v>3844.3574443810608</v>
      </c>
      <c r="AG281" s="138">
        <v>74</v>
      </c>
      <c r="AH281" s="138" t="str">
        <f t="shared" si="140"/>
        <v>51-80</v>
      </c>
      <c r="AI281" s="138">
        <f t="shared" si="141"/>
        <v>6509</v>
      </c>
      <c r="AJ281" s="36"/>
      <c r="AK281" s="36"/>
      <c r="AL281" s="37"/>
      <c r="AM281" s="79"/>
      <c r="AN281" s="79"/>
      <c r="AO281" s="79"/>
      <c r="AP281" s="133"/>
      <c r="AQ281" s="133" t="str">
        <f t="shared" si="164"/>
        <v>0-20</v>
      </c>
      <c r="AR281" s="133">
        <f t="shared" si="165"/>
        <v>3844.3574443810608</v>
      </c>
      <c r="AS281" s="131"/>
      <c r="AT281" s="131"/>
      <c r="AU281" s="4"/>
    </row>
    <row r="282" spans="1:51" s="14" customFormat="1" x14ac:dyDescent="0.25">
      <c r="A282" s="53"/>
      <c r="B282" s="13" t="s">
        <v>21</v>
      </c>
      <c r="C282" s="89"/>
      <c r="D282" s="89" t="s">
        <v>1167</v>
      </c>
      <c r="E282" s="89" t="s">
        <v>1168</v>
      </c>
      <c r="F282" s="71" t="s">
        <v>1169</v>
      </c>
      <c r="G282" s="6" t="s">
        <v>1170</v>
      </c>
      <c r="H282" s="33">
        <v>400709</v>
      </c>
      <c r="I282" s="35">
        <v>86</v>
      </c>
      <c r="J282" s="35" t="str">
        <f t="shared" si="146"/>
        <v>81-110</v>
      </c>
      <c r="K282" s="36">
        <f t="shared" si="147"/>
        <v>8747.8561594387575</v>
      </c>
      <c r="L282" s="35">
        <v>20</v>
      </c>
      <c r="M282" s="35" t="str">
        <f t="shared" si="148"/>
        <v>0-20</v>
      </c>
      <c r="N282" s="36">
        <f t="shared" si="161"/>
        <v>3844.3574443810608</v>
      </c>
      <c r="O282" s="51">
        <v>49</v>
      </c>
      <c r="P282" s="51" t="str">
        <f t="shared" si="153"/>
        <v>31-50</v>
      </c>
      <c r="Q282" s="51">
        <f t="shared" si="149"/>
        <v>5073.1976040297868</v>
      </c>
      <c r="R282" s="49">
        <v>30</v>
      </c>
      <c r="S282" s="49" t="str">
        <f t="shared" si="150"/>
        <v>21-30</v>
      </c>
      <c r="T282" s="49">
        <f t="shared" si="151"/>
        <v>4508.6394748902885</v>
      </c>
      <c r="U282" s="50">
        <v>27</v>
      </c>
      <c r="V282" s="50" t="str">
        <f t="shared" si="154"/>
        <v>21-30</v>
      </c>
      <c r="W282" s="50">
        <f t="shared" si="152"/>
        <v>4508.6394748902885</v>
      </c>
      <c r="X282" s="143">
        <v>35</v>
      </c>
      <c r="Y282" s="143" t="str">
        <f t="shared" si="155"/>
        <v>31-50</v>
      </c>
      <c r="Z282" s="143">
        <f t="shared" si="156"/>
        <v>5073.1976040297868</v>
      </c>
      <c r="AA282" s="116"/>
      <c r="AB282" s="114" t="str">
        <f t="shared" si="157"/>
        <v>0-20</v>
      </c>
      <c r="AC282" s="114">
        <f t="shared" si="158"/>
        <v>3844.3574443810608</v>
      </c>
      <c r="AD282" s="129"/>
      <c r="AE282" s="129" t="str">
        <f t="shared" si="166"/>
        <v>0-20</v>
      </c>
      <c r="AF282" s="129">
        <f t="shared" si="167"/>
        <v>3844.3574443810608</v>
      </c>
      <c r="AG282" s="138">
        <v>100</v>
      </c>
      <c r="AH282" s="138" t="str">
        <f t="shared" si="140"/>
        <v>81-110</v>
      </c>
      <c r="AI282" s="138">
        <f t="shared" si="141"/>
        <v>8747.8561594387575</v>
      </c>
      <c r="AJ282" s="36"/>
      <c r="AK282" s="36"/>
      <c r="AL282" s="37"/>
      <c r="AM282" s="79"/>
      <c r="AN282" s="79"/>
      <c r="AO282" s="79"/>
      <c r="AP282" s="133"/>
      <c r="AQ282" s="133" t="str">
        <f t="shared" si="164"/>
        <v>0-20</v>
      </c>
      <c r="AR282" s="133">
        <f t="shared" si="165"/>
        <v>3844.3574443810608</v>
      </c>
      <c r="AS282" s="131"/>
      <c r="AT282" s="131"/>
      <c r="AU282" s="4"/>
    </row>
    <row r="283" spans="1:51" s="14" customFormat="1" x14ac:dyDescent="0.25">
      <c r="A283" s="53"/>
      <c r="B283" s="13" t="s">
        <v>21</v>
      </c>
      <c r="C283" s="89"/>
      <c r="D283" s="89" t="s">
        <v>1173</v>
      </c>
      <c r="E283" s="89" t="s">
        <v>1174</v>
      </c>
      <c r="F283" s="71" t="s">
        <v>1175</v>
      </c>
      <c r="G283" s="6" t="s">
        <v>552</v>
      </c>
      <c r="H283" s="33">
        <v>421204</v>
      </c>
      <c r="I283" s="90">
        <v>147</v>
      </c>
      <c r="J283" s="90" t="str">
        <f t="shared" si="146"/>
        <v>110-130</v>
      </c>
      <c r="K283" s="91">
        <f t="shared" si="147"/>
        <v>10159.810450732197</v>
      </c>
      <c r="L283" s="35">
        <v>42</v>
      </c>
      <c r="M283" s="35" t="str">
        <f t="shared" si="148"/>
        <v>31-50</v>
      </c>
      <c r="N283" s="36">
        <f t="shared" si="161"/>
        <v>5073.1976040297868</v>
      </c>
      <c r="O283" s="51">
        <v>31</v>
      </c>
      <c r="P283" s="51" t="str">
        <f t="shared" si="153"/>
        <v>31-50</v>
      </c>
      <c r="Q283" s="51">
        <f t="shared" si="149"/>
        <v>5073.1976040297868</v>
      </c>
      <c r="R283" s="49">
        <v>62</v>
      </c>
      <c r="S283" s="49" t="str">
        <f t="shared" si="150"/>
        <v>51-80</v>
      </c>
      <c r="T283" s="49">
        <f t="shared" si="151"/>
        <v>6509</v>
      </c>
      <c r="U283" s="50">
        <v>62</v>
      </c>
      <c r="V283" s="50" t="str">
        <f t="shared" si="154"/>
        <v>51-80</v>
      </c>
      <c r="W283" s="50">
        <f t="shared" si="152"/>
        <v>6509</v>
      </c>
      <c r="X283" s="143">
        <v>30</v>
      </c>
      <c r="Y283" s="143" t="str">
        <f t="shared" ref="Y283" si="168">VLOOKUP(X283,$AV$4:$AW$9,2,1)</f>
        <v>21-30</v>
      </c>
      <c r="Z283" s="143">
        <f t="shared" ref="Z283" si="169">VLOOKUP(Y283,$AW$3:$AX$9,2,0)</f>
        <v>4508.6394748902885</v>
      </c>
      <c r="AA283" s="116"/>
      <c r="AB283" s="114" t="str">
        <f t="shared" si="157"/>
        <v>0-20</v>
      </c>
      <c r="AC283" s="114">
        <f t="shared" si="158"/>
        <v>3844.3574443810608</v>
      </c>
      <c r="AD283" s="129"/>
      <c r="AE283" s="129" t="str">
        <f t="shared" si="166"/>
        <v>0-20</v>
      </c>
      <c r="AF283" s="129">
        <f t="shared" si="167"/>
        <v>3844.3574443810608</v>
      </c>
      <c r="AG283" s="138">
        <v>80</v>
      </c>
      <c r="AH283" s="138" t="str">
        <f t="shared" si="140"/>
        <v>51-80</v>
      </c>
      <c r="AI283" s="138">
        <f t="shared" si="141"/>
        <v>6509</v>
      </c>
      <c r="AJ283" s="36">
        <v>69</v>
      </c>
      <c r="AK283" s="36" t="str">
        <f t="shared" ref="AK283" si="170">VLOOKUP(AJ283,$AV$3:$AW$9,2,1)</f>
        <v>51-80</v>
      </c>
      <c r="AL283" s="37">
        <f t="shared" ref="AL283" si="171">VLOOKUP(AK283,$AW$3:$AX$9,2,0)</f>
        <v>6509</v>
      </c>
      <c r="AM283" s="37">
        <v>103</v>
      </c>
      <c r="AN283" s="3" t="str">
        <f t="shared" ref="AN283" si="172">VLOOKUP(AM283,$AV$4:$AW$9,2,1)</f>
        <v>81-110</v>
      </c>
      <c r="AO283" s="119">
        <f t="shared" ref="AO283" si="173">VLOOKUP(AN283,$AW$3:$AX$9,2,0)</f>
        <v>8747.8561594387575</v>
      </c>
      <c r="AP283" s="133">
        <v>29</v>
      </c>
      <c r="AQ283" s="133" t="str">
        <f t="shared" si="164"/>
        <v>21-30</v>
      </c>
      <c r="AR283" s="133">
        <f t="shared" si="165"/>
        <v>4508.6394748902885</v>
      </c>
      <c r="AS283" s="131"/>
      <c r="AT283" s="131"/>
      <c r="AU283" s="4"/>
    </row>
    <row r="284" spans="1:51" s="14" customFormat="1" x14ac:dyDescent="0.25">
      <c r="A284" s="53"/>
      <c r="B284" s="13" t="s">
        <v>21</v>
      </c>
      <c r="C284" s="89"/>
      <c r="D284" s="89" t="s">
        <v>1178</v>
      </c>
      <c r="E284" s="89" t="s">
        <v>1179</v>
      </c>
      <c r="F284" s="71" t="s">
        <v>1180</v>
      </c>
      <c r="G284" s="6" t="s">
        <v>567</v>
      </c>
      <c r="H284" s="33">
        <v>410206</v>
      </c>
      <c r="I284" s="35">
        <v>60</v>
      </c>
      <c r="J284" s="35" t="str">
        <f t="shared" si="146"/>
        <v>51-80</v>
      </c>
      <c r="K284" s="36">
        <f t="shared" si="147"/>
        <v>6509</v>
      </c>
      <c r="L284" s="35">
        <v>46</v>
      </c>
      <c r="M284" s="35" t="str">
        <f t="shared" si="148"/>
        <v>31-50</v>
      </c>
      <c r="N284" s="36">
        <f t="shared" si="161"/>
        <v>5073.1976040297868</v>
      </c>
      <c r="O284" s="51">
        <v>78</v>
      </c>
      <c r="P284" s="51" t="str">
        <f t="shared" si="153"/>
        <v>51-80</v>
      </c>
      <c r="Q284" s="51">
        <f t="shared" si="149"/>
        <v>6509</v>
      </c>
      <c r="R284" s="49">
        <v>50</v>
      </c>
      <c r="S284" s="49" t="str">
        <f t="shared" si="150"/>
        <v>31-50</v>
      </c>
      <c r="T284" s="49">
        <f t="shared" si="151"/>
        <v>5073.1976040297868</v>
      </c>
      <c r="U284" s="50">
        <v>41</v>
      </c>
      <c r="V284" s="50" t="str">
        <f t="shared" si="154"/>
        <v>31-50</v>
      </c>
      <c r="W284" s="50">
        <f t="shared" si="152"/>
        <v>5073.1976040297868</v>
      </c>
      <c r="X284" s="143">
        <v>61</v>
      </c>
      <c r="Y284" s="143" t="str">
        <f t="shared" si="155"/>
        <v>51-80</v>
      </c>
      <c r="Z284" s="143">
        <f t="shared" si="156"/>
        <v>6509</v>
      </c>
      <c r="AA284" s="116"/>
      <c r="AB284" s="114" t="str">
        <f t="shared" si="157"/>
        <v>0-20</v>
      </c>
      <c r="AC284" s="114">
        <f t="shared" si="158"/>
        <v>3844.3574443810608</v>
      </c>
      <c r="AD284" s="129"/>
      <c r="AE284" s="129" t="str">
        <f t="shared" si="166"/>
        <v>0-20</v>
      </c>
      <c r="AF284" s="129">
        <f t="shared" si="167"/>
        <v>3844.3574443810608</v>
      </c>
      <c r="AG284" s="139">
        <v>106</v>
      </c>
      <c r="AH284" s="138" t="str">
        <f t="shared" si="140"/>
        <v>81-110</v>
      </c>
      <c r="AI284" s="138">
        <f t="shared" si="141"/>
        <v>8747.8561594387575</v>
      </c>
      <c r="AJ284" s="36"/>
      <c r="AK284" s="36"/>
      <c r="AL284" s="37"/>
      <c r="AM284" s="79"/>
      <c r="AN284" s="79"/>
      <c r="AO284" s="79"/>
      <c r="AP284" s="133"/>
      <c r="AQ284" s="133" t="str">
        <f t="shared" si="164"/>
        <v>0-20</v>
      </c>
      <c r="AR284" s="133">
        <f t="shared" si="165"/>
        <v>3844.3574443810608</v>
      </c>
      <c r="AS284" s="131"/>
      <c r="AT284" s="131"/>
      <c r="AU284" s="4"/>
    </row>
    <row r="285" spans="1:51" s="14" customFormat="1" x14ac:dyDescent="0.25">
      <c r="A285" s="53"/>
      <c r="B285" s="13" t="s">
        <v>21</v>
      </c>
      <c r="C285" s="89"/>
      <c r="D285" s="89" t="s">
        <v>1181</v>
      </c>
      <c r="E285" s="89" t="s">
        <v>667</v>
      </c>
      <c r="F285" s="71" t="s">
        <v>1505</v>
      </c>
      <c r="G285" s="6" t="s">
        <v>1182</v>
      </c>
      <c r="H285" s="33">
        <v>421201</v>
      </c>
      <c r="I285" s="90">
        <v>112</v>
      </c>
      <c r="J285" s="90" t="str">
        <f t="shared" si="146"/>
        <v>110-130</v>
      </c>
      <c r="K285" s="91">
        <f t="shared" si="147"/>
        <v>10159.810450732197</v>
      </c>
      <c r="L285" s="35">
        <v>21</v>
      </c>
      <c r="M285" s="35" t="str">
        <f t="shared" si="148"/>
        <v>21-30</v>
      </c>
      <c r="N285" s="36">
        <f t="shared" si="161"/>
        <v>4508.6394748902885</v>
      </c>
      <c r="O285" s="51">
        <v>40</v>
      </c>
      <c r="P285" s="51" t="str">
        <f t="shared" si="153"/>
        <v>31-50</v>
      </c>
      <c r="Q285" s="51">
        <f t="shared" si="149"/>
        <v>5073.1976040297868</v>
      </c>
      <c r="R285" s="49">
        <v>40</v>
      </c>
      <c r="S285" s="49" t="str">
        <f t="shared" si="150"/>
        <v>31-50</v>
      </c>
      <c r="T285" s="49">
        <f t="shared" si="151"/>
        <v>5073.1976040297868</v>
      </c>
      <c r="U285" s="50">
        <v>38</v>
      </c>
      <c r="V285" s="50" t="str">
        <f t="shared" si="154"/>
        <v>31-50</v>
      </c>
      <c r="W285" s="50">
        <f t="shared" si="152"/>
        <v>5073.1976040297868</v>
      </c>
      <c r="X285" s="143">
        <v>23</v>
      </c>
      <c r="Y285" s="143" t="str">
        <f t="shared" si="155"/>
        <v>21-30</v>
      </c>
      <c r="Z285" s="143">
        <f t="shared" si="156"/>
        <v>4508.6394748902885</v>
      </c>
      <c r="AA285" s="116"/>
      <c r="AB285" s="114" t="str">
        <f t="shared" si="157"/>
        <v>0-20</v>
      </c>
      <c r="AC285" s="114">
        <f t="shared" si="158"/>
        <v>3844.3574443810608</v>
      </c>
      <c r="AD285" s="129"/>
      <c r="AE285" s="129" t="str">
        <f t="shared" si="166"/>
        <v>0-20</v>
      </c>
      <c r="AF285" s="129">
        <f t="shared" si="167"/>
        <v>3844.3574443810608</v>
      </c>
      <c r="AG285" s="138">
        <v>85</v>
      </c>
      <c r="AH285" s="138" t="str">
        <f t="shared" si="140"/>
        <v>81-110</v>
      </c>
      <c r="AI285" s="138">
        <f t="shared" si="141"/>
        <v>8747.8561594387575</v>
      </c>
      <c r="AJ285" s="36"/>
      <c r="AK285" s="36"/>
      <c r="AL285" s="37"/>
      <c r="AM285" s="79"/>
      <c r="AN285" s="79"/>
      <c r="AO285" s="79"/>
      <c r="AP285" s="133"/>
      <c r="AQ285" s="133" t="str">
        <f t="shared" si="164"/>
        <v>0-20</v>
      </c>
      <c r="AR285" s="133">
        <f t="shared" si="165"/>
        <v>3844.3574443810608</v>
      </c>
      <c r="AS285" s="131"/>
      <c r="AT285" s="131"/>
      <c r="AU285" s="4"/>
    </row>
    <row r="286" spans="1:51" s="14" customFormat="1" x14ac:dyDescent="0.25">
      <c r="A286" s="53"/>
      <c r="B286" s="13" t="s">
        <v>21</v>
      </c>
      <c r="C286" s="89"/>
      <c r="D286" s="89" t="s">
        <v>1183</v>
      </c>
      <c r="E286" s="89" t="s">
        <v>1184</v>
      </c>
      <c r="F286" s="71" t="s">
        <v>1186</v>
      </c>
      <c r="G286" s="6" t="s">
        <v>1185</v>
      </c>
      <c r="H286" s="33">
        <v>400061</v>
      </c>
      <c r="I286" s="35">
        <v>127</v>
      </c>
      <c r="J286" s="35" t="str">
        <f t="shared" si="146"/>
        <v>110-130</v>
      </c>
      <c r="K286" s="36">
        <f t="shared" si="147"/>
        <v>10159.810450732197</v>
      </c>
      <c r="L286" s="35">
        <v>40</v>
      </c>
      <c r="M286" s="35" t="str">
        <f t="shared" si="148"/>
        <v>31-50</v>
      </c>
      <c r="N286" s="36">
        <f t="shared" si="161"/>
        <v>5073.1976040297868</v>
      </c>
      <c r="O286" s="51">
        <v>45</v>
      </c>
      <c r="P286" s="51" t="str">
        <f t="shared" si="153"/>
        <v>31-50</v>
      </c>
      <c r="Q286" s="51">
        <f t="shared" si="149"/>
        <v>5073.1976040297868</v>
      </c>
      <c r="R286" s="49">
        <v>21</v>
      </c>
      <c r="S286" s="49" t="str">
        <f t="shared" si="150"/>
        <v>21-30</v>
      </c>
      <c r="T286" s="49">
        <f t="shared" si="151"/>
        <v>4508.6394748902885</v>
      </c>
      <c r="U286" s="50">
        <v>28</v>
      </c>
      <c r="V286" s="50" t="str">
        <f t="shared" si="154"/>
        <v>21-30</v>
      </c>
      <c r="W286" s="50">
        <f t="shared" si="152"/>
        <v>4508.6394748902885</v>
      </c>
      <c r="X286" s="143" t="s">
        <v>1458</v>
      </c>
      <c r="Y286" s="143" t="e">
        <f t="shared" si="155"/>
        <v>#N/A</v>
      </c>
      <c r="Z286" s="143" t="e">
        <f t="shared" si="156"/>
        <v>#N/A</v>
      </c>
      <c r="AA286" s="116"/>
      <c r="AB286" s="114" t="str">
        <f t="shared" si="157"/>
        <v>0-20</v>
      </c>
      <c r="AC286" s="114">
        <f t="shared" si="158"/>
        <v>3844.3574443810608</v>
      </c>
      <c r="AD286" s="129"/>
      <c r="AE286" s="129" t="str">
        <f t="shared" si="166"/>
        <v>0-20</v>
      </c>
      <c r="AF286" s="129">
        <f t="shared" si="167"/>
        <v>3844.3574443810608</v>
      </c>
      <c r="AG286" s="138">
        <v>96</v>
      </c>
      <c r="AH286" s="138" t="str">
        <f t="shared" ref="AH286:AH336" si="174">VLOOKUP(AG286,$AV$4:$AW$9,2,1)</f>
        <v>81-110</v>
      </c>
      <c r="AI286" s="138">
        <f t="shared" ref="AI286:AI336" si="175">VLOOKUP(AH286,$AW$3:$AX$9,2,0)</f>
        <v>8747.8561594387575</v>
      </c>
      <c r="AJ286" s="36"/>
      <c r="AK286" s="36"/>
      <c r="AL286" s="37"/>
      <c r="AM286" s="79"/>
      <c r="AN286" s="79"/>
      <c r="AO286" s="79"/>
      <c r="AP286" s="133"/>
      <c r="AQ286" s="133" t="str">
        <f t="shared" si="164"/>
        <v>0-20</v>
      </c>
      <c r="AR286" s="133">
        <f t="shared" si="165"/>
        <v>3844.3574443810608</v>
      </c>
      <c r="AS286" s="131"/>
      <c r="AT286" s="131"/>
      <c r="AU286" s="4"/>
    </row>
    <row r="287" spans="1:51" ht="16.5" x14ac:dyDescent="0.3">
      <c r="A287" s="32"/>
      <c r="B287" s="13" t="s">
        <v>21</v>
      </c>
      <c r="C287" s="11"/>
      <c r="D287" s="33" t="s">
        <v>1187</v>
      </c>
      <c r="E287" s="34" t="s">
        <v>1188</v>
      </c>
      <c r="F287" s="34" t="s">
        <v>1189</v>
      </c>
      <c r="G287" s="6" t="s">
        <v>594</v>
      </c>
      <c r="H287" s="33">
        <v>421003</v>
      </c>
      <c r="I287" s="90">
        <v>102</v>
      </c>
      <c r="J287" s="90" t="str">
        <f t="shared" si="146"/>
        <v>81-110</v>
      </c>
      <c r="K287" s="91">
        <f t="shared" si="147"/>
        <v>8747.8561594387575</v>
      </c>
      <c r="L287" s="99">
        <v>29</v>
      </c>
      <c r="M287" s="99" t="str">
        <f t="shared" si="148"/>
        <v>21-30</v>
      </c>
      <c r="N287" s="100">
        <f t="shared" si="161"/>
        <v>4508.6394748902885</v>
      </c>
      <c r="O287" s="51">
        <v>63</v>
      </c>
      <c r="P287" s="51" t="str">
        <f t="shared" si="153"/>
        <v>51-80</v>
      </c>
      <c r="Q287" s="51">
        <f t="shared" si="149"/>
        <v>6509</v>
      </c>
      <c r="R287" s="49">
        <v>48</v>
      </c>
      <c r="S287" s="49" t="str">
        <f t="shared" si="150"/>
        <v>31-50</v>
      </c>
      <c r="T287" s="49">
        <f t="shared" si="151"/>
        <v>5073.1976040297868</v>
      </c>
      <c r="U287" s="50">
        <v>45</v>
      </c>
      <c r="V287" s="50" t="str">
        <f t="shared" si="154"/>
        <v>31-50</v>
      </c>
      <c r="W287" s="50">
        <f t="shared" si="152"/>
        <v>5073.1976040297868</v>
      </c>
      <c r="X287" s="143">
        <v>23</v>
      </c>
      <c r="Y287" s="143" t="str">
        <f t="shared" si="155"/>
        <v>21-30</v>
      </c>
      <c r="Z287" s="143">
        <f t="shared" si="156"/>
        <v>4508.6394748902885</v>
      </c>
      <c r="AA287" s="116"/>
      <c r="AB287" s="114" t="str">
        <f t="shared" si="157"/>
        <v>0-20</v>
      </c>
      <c r="AC287" s="114">
        <f t="shared" si="158"/>
        <v>3844.3574443810608</v>
      </c>
      <c r="AD287" s="129">
        <v>12</v>
      </c>
      <c r="AE287" s="129" t="str">
        <f t="shared" si="166"/>
        <v>0-20</v>
      </c>
      <c r="AF287" s="129">
        <f t="shared" si="167"/>
        <v>3844.3574443810608</v>
      </c>
      <c r="AG287" s="138">
        <v>79</v>
      </c>
      <c r="AH287" s="138" t="str">
        <f t="shared" si="174"/>
        <v>51-80</v>
      </c>
      <c r="AI287" s="138">
        <f t="shared" si="175"/>
        <v>6509</v>
      </c>
      <c r="AJ287" s="36">
        <v>46</v>
      </c>
      <c r="AK287" s="36" t="str">
        <f t="shared" ref="AK287" si="176">VLOOKUP(AJ287,$AV$3:$AW$9,2,1)</f>
        <v>31-50</v>
      </c>
      <c r="AL287" s="37">
        <f t="shared" ref="AL287" si="177">VLOOKUP(AK287,$AW$3:$AX$9,2,0)</f>
        <v>5073.1976040297868</v>
      </c>
      <c r="AM287" s="37">
        <v>71</v>
      </c>
      <c r="AN287" s="3" t="str">
        <f t="shared" ref="AN287" si="178">VLOOKUP(AM287,$AV$4:$AW$9,2,1)</f>
        <v>51-80</v>
      </c>
      <c r="AO287" s="119">
        <f t="shared" ref="AO287" si="179">VLOOKUP(AN287,$AW$3:$AX$9,2,0)</f>
        <v>6509</v>
      </c>
      <c r="AP287" s="133"/>
      <c r="AQ287" s="133" t="str">
        <f t="shared" si="164"/>
        <v>0-20</v>
      </c>
      <c r="AR287" s="133">
        <f t="shared" si="165"/>
        <v>3844.3574443810608</v>
      </c>
      <c r="AS287" s="131"/>
      <c r="AT287" s="131"/>
      <c r="AU287" s="41"/>
      <c r="AV287" s="41"/>
      <c r="AW287" s="41"/>
      <c r="AY287" s="43"/>
    </row>
    <row r="288" spans="1:51" ht="16.5" x14ac:dyDescent="0.3">
      <c r="A288" s="53"/>
      <c r="B288" s="13" t="s">
        <v>21</v>
      </c>
      <c r="C288" s="112"/>
      <c r="D288" s="67" t="s">
        <v>1190</v>
      </c>
      <c r="E288" s="71" t="s">
        <v>1191</v>
      </c>
      <c r="F288" s="71" t="s">
        <v>1192</v>
      </c>
      <c r="G288" s="6" t="s">
        <v>1193</v>
      </c>
      <c r="H288" s="33">
        <v>421005</v>
      </c>
      <c r="I288" s="90">
        <v>102</v>
      </c>
      <c r="J288" s="90" t="str">
        <f t="shared" si="146"/>
        <v>81-110</v>
      </c>
      <c r="K288" s="91">
        <f t="shared" si="147"/>
        <v>8747.8561594387575</v>
      </c>
      <c r="L288" s="99">
        <v>29</v>
      </c>
      <c r="M288" s="99" t="str">
        <f t="shared" si="148"/>
        <v>21-30</v>
      </c>
      <c r="N288" s="100">
        <f t="shared" si="161"/>
        <v>4508.6394748902885</v>
      </c>
      <c r="O288" s="51">
        <v>63</v>
      </c>
      <c r="P288" s="51" t="str">
        <f t="shared" si="153"/>
        <v>51-80</v>
      </c>
      <c r="Q288" s="51">
        <f t="shared" si="149"/>
        <v>6509</v>
      </c>
      <c r="R288" s="49">
        <v>48</v>
      </c>
      <c r="S288" s="49" t="str">
        <f t="shared" si="150"/>
        <v>31-50</v>
      </c>
      <c r="T288" s="49">
        <f t="shared" si="151"/>
        <v>5073.1976040297868</v>
      </c>
      <c r="U288" s="50">
        <v>45</v>
      </c>
      <c r="V288" s="50" t="str">
        <f t="shared" si="154"/>
        <v>31-50</v>
      </c>
      <c r="W288" s="50">
        <f t="shared" si="152"/>
        <v>5073.1976040297868</v>
      </c>
      <c r="X288" s="143">
        <v>27</v>
      </c>
      <c r="Y288" s="143" t="str">
        <f t="shared" si="155"/>
        <v>21-30</v>
      </c>
      <c r="Z288" s="143">
        <f t="shared" si="156"/>
        <v>4508.6394748902885</v>
      </c>
      <c r="AA288" s="116"/>
      <c r="AB288" s="114" t="str">
        <f t="shared" si="157"/>
        <v>0-20</v>
      </c>
      <c r="AC288" s="114">
        <f t="shared" si="158"/>
        <v>3844.3574443810608</v>
      </c>
      <c r="AD288" s="129">
        <v>17</v>
      </c>
      <c r="AE288" s="129" t="str">
        <f t="shared" si="166"/>
        <v>0-20</v>
      </c>
      <c r="AF288" s="129">
        <f t="shared" si="167"/>
        <v>3844.3574443810608</v>
      </c>
      <c r="AG288" s="138">
        <v>79</v>
      </c>
      <c r="AH288" s="138" t="str">
        <f t="shared" si="174"/>
        <v>51-80</v>
      </c>
      <c r="AI288" s="138">
        <f t="shared" si="175"/>
        <v>6509</v>
      </c>
      <c r="AJ288" s="36"/>
      <c r="AK288" s="36"/>
      <c r="AL288" s="37"/>
      <c r="AM288" s="79"/>
      <c r="AN288" s="102"/>
      <c r="AO288" s="102"/>
      <c r="AP288" s="133"/>
      <c r="AQ288" s="133" t="str">
        <f t="shared" si="164"/>
        <v>0-20</v>
      </c>
      <c r="AR288" s="133">
        <f t="shared" si="165"/>
        <v>3844.3574443810608</v>
      </c>
      <c r="AS288" s="131"/>
      <c r="AT288" s="131"/>
      <c r="AU288" s="41"/>
      <c r="AV288" s="41"/>
      <c r="AW288" s="41"/>
      <c r="AY288" s="43"/>
    </row>
    <row r="289" spans="1:51" ht="16.5" x14ac:dyDescent="0.3">
      <c r="A289" s="53"/>
      <c r="B289" s="13" t="s">
        <v>21</v>
      </c>
      <c r="C289" s="112"/>
      <c r="D289" s="67" t="s">
        <v>1198</v>
      </c>
      <c r="E289" s="71" t="s">
        <v>1199</v>
      </c>
      <c r="F289" s="71" t="s">
        <v>1200</v>
      </c>
      <c r="G289" s="6" t="s">
        <v>50</v>
      </c>
      <c r="H289" s="33">
        <v>401107</v>
      </c>
      <c r="I289" s="90">
        <v>124</v>
      </c>
      <c r="J289" s="90" t="str">
        <f t="shared" si="146"/>
        <v>110-130</v>
      </c>
      <c r="K289" s="91">
        <f t="shared" si="147"/>
        <v>10159.810450732197</v>
      </c>
      <c r="L289" s="99">
        <v>26</v>
      </c>
      <c r="M289" s="99" t="str">
        <f t="shared" si="148"/>
        <v>21-30</v>
      </c>
      <c r="N289" s="100">
        <f t="shared" si="161"/>
        <v>4508.6394748902885</v>
      </c>
      <c r="O289" s="51">
        <v>26</v>
      </c>
      <c r="P289" s="51" t="str">
        <f t="shared" si="153"/>
        <v>21-30</v>
      </c>
      <c r="Q289" s="51">
        <f t="shared" si="149"/>
        <v>4508.6394748902885</v>
      </c>
      <c r="R289" s="49">
        <v>20</v>
      </c>
      <c r="S289" s="49" t="str">
        <f t="shared" si="150"/>
        <v>0-20</v>
      </c>
      <c r="T289" s="49">
        <f t="shared" si="151"/>
        <v>3844.3574443810608</v>
      </c>
      <c r="U289" s="50">
        <v>27</v>
      </c>
      <c r="V289" s="50" t="str">
        <f t="shared" si="154"/>
        <v>21-30</v>
      </c>
      <c r="W289" s="50">
        <f t="shared" si="152"/>
        <v>4508.6394748902885</v>
      </c>
      <c r="X289" s="143" t="s">
        <v>1458</v>
      </c>
      <c r="Y289" s="143" t="e">
        <f t="shared" si="155"/>
        <v>#N/A</v>
      </c>
      <c r="Z289" s="143" t="e">
        <f t="shared" si="156"/>
        <v>#N/A</v>
      </c>
      <c r="AA289" s="116"/>
      <c r="AB289" s="114" t="str">
        <f t="shared" si="157"/>
        <v>0-20</v>
      </c>
      <c r="AC289" s="114">
        <f t="shared" si="158"/>
        <v>3844.3574443810608</v>
      </c>
      <c r="AD289" s="129"/>
      <c r="AE289" s="129" t="str">
        <f t="shared" si="166"/>
        <v>0-20</v>
      </c>
      <c r="AF289" s="129">
        <f t="shared" si="167"/>
        <v>3844.3574443810608</v>
      </c>
      <c r="AG289" s="138">
        <v>72</v>
      </c>
      <c r="AH289" s="138" t="str">
        <f t="shared" si="174"/>
        <v>51-80</v>
      </c>
      <c r="AI289" s="138">
        <f t="shared" si="175"/>
        <v>6509</v>
      </c>
      <c r="AJ289" s="36"/>
      <c r="AK289" s="36"/>
      <c r="AL289" s="37"/>
      <c r="AM289" s="79"/>
      <c r="AN289" s="102"/>
      <c r="AO289" s="102"/>
      <c r="AP289" s="133"/>
      <c r="AQ289" s="133" t="str">
        <f t="shared" si="164"/>
        <v>0-20</v>
      </c>
      <c r="AR289" s="133">
        <f t="shared" si="165"/>
        <v>3844.3574443810608</v>
      </c>
      <c r="AS289" s="131"/>
      <c r="AT289" s="131"/>
      <c r="AU289" s="41"/>
      <c r="AV289" s="41"/>
      <c r="AW289" s="41"/>
      <c r="AY289" s="43"/>
    </row>
    <row r="290" spans="1:51" s="14" customFormat="1" x14ac:dyDescent="0.25">
      <c r="A290" s="53"/>
      <c r="B290" s="13" t="s">
        <v>21</v>
      </c>
      <c r="C290" s="89"/>
      <c r="D290" s="89" t="s">
        <v>1202</v>
      </c>
      <c r="E290" s="89" t="s">
        <v>1203</v>
      </c>
      <c r="F290" s="71" t="s">
        <v>1205</v>
      </c>
      <c r="G290" s="6" t="s">
        <v>1204</v>
      </c>
      <c r="H290" s="33">
        <v>400701</v>
      </c>
      <c r="I290" s="35">
        <v>91</v>
      </c>
      <c r="J290" s="35" t="str">
        <f t="shared" si="146"/>
        <v>81-110</v>
      </c>
      <c r="K290" s="36">
        <f t="shared" ref="K290:K312" si="180">VLOOKUP(J290,$AW$3:$AX$9,2,0)</f>
        <v>8747.8561594387575</v>
      </c>
      <c r="L290" s="35">
        <v>12</v>
      </c>
      <c r="M290" s="35" t="str">
        <f t="shared" ref="M290:M312" si="181">VLOOKUP(L290,$AV$4:$AW$9,2,1)</f>
        <v>0-20</v>
      </c>
      <c r="N290" s="36">
        <f t="shared" si="161"/>
        <v>3844.3574443810608</v>
      </c>
      <c r="O290" s="51">
        <v>49</v>
      </c>
      <c r="P290" s="51" t="str">
        <f t="shared" si="153"/>
        <v>31-50</v>
      </c>
      <c r="Q290" s="51">
        <f t="shared" si="149"/>
        <v>5073.1976040297868</v>
      </c>
      <c r="R290" s="49">
        <v>20</v>
      </c>
      <c r="S290" s="49" t="str">
        <f t="shared" si="150"/>
        <v>0-20</v>
      </c>
      <c r="T290" s="49">
        <f t="shared" si="151"/>
        <v>3844.3574443810608</v>
      </c>
      <c r="U290" s="50">
        <v>18</v>
      </c>
      <c r="V290" s="50" t="str">
        <f t="shared" si="154"/>
        <v>0-20</v>
      </c>
      <c r="W290" s="50">
        <f t="shared" si="152"/>
        <v>3844.3574443810608</v>
      </c>
      <c r="X290" s="143">
        <v>48</v>
      </c>
      <c r="Y290" s="143" t="str">
        <f t="shared" si="155"/>
        <v>31-50</v>
      </c>
      <c r="Z290" s="143">
        <f t="shared" si="156"/>
        <v>5073.1976040297868</v>
      </c>
      <c r="AA290" s="116"/>
      <c r="AB290" s="114" t="str">
        <f t="shared" si="157"/>
        <v>0-20</v>
      </c>
      <c r="AC290" s="114">
        <f t="shared" si="158"/>
        <v>3844.3574443810608</v>
      </c>
      <c r="AD290" s="129"/>
      <c r="AE290" s="129" t="str">
        <f t="shared" si="166"/>
        <v>0-20</v>
      </c>
      <c r="AF290" s="129">
        <f t="shared" si="167"/>
        <v>3844.3574443810608</v>
      </c>
      <c r="AG290" s="138">
        <v>96</v>
      </c>
      <c r="AH290" s="138" t="str">
        <f t="shared" si="174"/>
        <v>81-110</v>
      </c>
      <c r="AI290" s="138">
        <f t="shared" si="175"/>
        <v>8747.8561594387575</v>
      </c>
      <c r="AJ290" s="36"/>
      <c r="AK290" s="36"/>
      <c r="AL290" s="37"/>
      <c r="AM290" s="79"/>
      <c r="AN290" s="79"/>
      <c r="AO290" s="79"/>
      <c r="AP290" s="133"/>
      <c r="AQ290" s="133" t="str">
        <f t="shared" si="164"/>
        <v>0-20</v>
      </c>
      <c r="AR290" s="133">
        <f t="shared" si="165"/>
        <v>3844.3574443810608</v>
      </c>
      <c r="AS290" s="131"/>
      <c r="AT290" s="131"/>
      <c r="AU290" s="4"/>
    </row>
    <row r="291" spans="1:51" s="14" customFormat="1" x14ac:dyDescent="0.25">
      <c r="A291" s="53"/>
      <c r="B291" s="13" t="s">
        <v>21</v>
      </c>
      <c r="C291" s="89"/>
      <c r="D291" s="89" t="s">
        <v>1206</v>
      </c>
      <c r="E291" s="89" t="s">
        <v>1207</v>
      </c>
      <c r="F291" s="71" t="s">
        <v>1208</v>
      </c>
      <c r="G291" s="6" t="s">
        <v>1209</v>
      </c>
      <c r="H291" s="33">
        <v>421303</v>
      </c>
      <c r="I291" s="35">
        <v>161</v>
      </c>
      <c r="J291" s="35" t="str">
        <f t="shared" si="146"/>
        <v>110-130</v>
      </c>
      <c r="K291" s="36">
        <f t="shared" si="180"/>
        <v>10159.810450732197</v>
      </c>
      <c r="L291" s="35">
        <v>73</v>
      </c>
      <c r="M291" s="35" t="str">
        <f t="shared" si="181"/>
        <v>51-80</v>
      </c>
      <c r="N291" s="36">
        <f t="shared" si="161"/>
        <v>6509</v>
      </c>
      <c r="O291" s="51">
        <v>60</v>
      </c>
      <c r="P291" s="51" t="str">
        <f t="shared" si="153"/>
        <v>51-80</v>
      </c>
      <c r="Q291" s="51">
        <f t="shared" si="149"/>
        <v>6509</v>
      </c>
      <c r="R291" s="49">
        <v>102</v>
      </c>
      <c r="S291" s="49" t="str">
        <f t="shared" si="150"/>
        <v>81-110</v>
      </c>
      <c r="T291" s="49">
        <f t="shared" si="151"/>
        <v>8747.8561594387575</v>
      </c>
      <c r="U291" s="50">
        <v>89</v>
      </c>
      <c r="V291" s="50" t="str">
        <f t="shared" si="154"/>
        <v>81-110</v>
      </c>
      <c r="W291" s="50">
        <f t="shared" si="152"/>
        <v>8747.8561594387575</v>
      </c>
      <c r="X291" s="143" t="s">
        <v>1458</v>
      </c>
      <c r="Y291" s="143" t="e">
        <f t="shared" si="155"/>
        <v>#N/A</v>
      </c>
      <c r="Z291" s="143" t="e">
        <f t="shared" si="156"/>
        <v>#N/A</v>
      </c>
      <c r="AA291" s="116"/>
      <c r="AB291" s="114" t="str">
        <f t="shared" si="157"/>
        <v>0-20</v>
      </c>
      <c r="AC291" s="114">
        <f t="shared" si="158"/>
        <v>3844.3574443810608</v>
      </c>
      <c r="AD291" s="129"/>
      <c r="AE291" s="129" t="str">
        <f t="shared" si="166"/>
        <v>0-20</v>
      </c>
      <c r="AF291" s="129">
        <f t="shared" si="167"/>
        <v>3844.3574443810608</v>
      </c>
      <c r="AG291" s="138">
        <v>23</v>
      </c>
      <c r="AH291" s="138" t="str">
        <f t="shared" si="174"/>
        <v>21-30</v>
      </c>
      <c r="AI291" s="138">
        <f t="shared" si="175"/>
        <v>4508.6394748902885</v>
      </c>
      <c r="AJ291" s="36"/>
      <c r="AK291" s="36"/>
      <c r="AL291" s="37"/>
      <c r="AM291" s="79"/>
      <c r="AN291" s="79"/>
      <c r="AO291" s="79"/>
      <c r="AP291" s="133"/>
      <c r="AQ291" s="133" t="str">
        <f t="shared" si="164"/>
        <v>0-20</v>
      </c>
      <c r="AR291" s="133">
        <f t="shared" si="165"/>
        <v>3844.3574443810608</v>
      </c>
      <c r="AS291" s="131"/>
      <c r="AT291" s="131"/>
      <c r="AU291" s="4"/>
    </row>
    <row r="292" spans="1:51" s="14" customFormat="1" x14ac:dyDescent="0.25">
      <c r="A292" s="53"/>
      <c r="B292" s="13" t="s">
        <v>21</v>
      </c>
      <c r="C292" s="89"/>
      <c r="D292" s="89" t="s">
        <v>1210</v>
      </c>
      <c r="E292" s="89" t="s">
        <v>1211</v>
      </c>
      <c r="F292" s="71" t="s">
        <v>1351</v>
      </c>
      <c r="G292" s="6" t="s">
        <v>1212</v>
      </c>
      <c r="H292" s="33">
        <v>401203</v>
      </c>
      <c r="I292" s="35">
        <v>140</v>
      </c>
      <c r="J292" s="35" t="str">
        <f t="shared" si="146"/>
        <v>110-130</v>
      </c>
      <c r="K292" s="36">
        <f t="shared" si="180"/>
        <v>10159.810450732197</v>
      </c>
      <c r="L292" s="35">
        <v>46</v>
      </c>
      <c r="M292" s="35" t="str">
        <f t="shared" si="181"/>
        <v>31-50</v>
      </c>
      <c r="N292" s="36">
        <f t="shared" si="161"/>
        <v>5073.1976040297868</v>
      </c>
      <c r="O292" s="51">
        <v>9</v>
      </c>
      <c r="P292" s="51" t="str">
        <f t="shared" si="153"/>
        <v>0-20</v>
      </c>
      <c r="Q292" s="51">
        <f t="shared" si="149"/>
        <v>3844.3574443810608</v>
      </c>
      <c r="R292" s="49">
        <v>47</v>
      </c>
      <c r="S292" s="49" t="str">
        <f t="shared" si="150"/>
        <v>31-50</v>
      </c>
      <c r="T292" s="49">
        <f t="shared" si="151"/>
        <v>5073.1976040297868</v>
      </c>
      <c r="U292" s="50">
        <v>62</v>
      </c>
      <c r="V292" s="50" t="str">
        <f t="shared" si="154"/>
        <v>51-80</v>
      </c>
      <c r="W292" s="50">
        <f t="shared" si="152"/>
        <v>6509</v>
      </c>
      <c r="X292" s="143">
        <v>51</v>
      </c>
      <c r="Y292" s="143" t="str">
        <f t="shared" si="155"/>
        <v>51-80</v>
      </c>
      <c r="Z292" s="143">
        <f t="shared" si="156"/>
        <v>6509</v>
      </c>
      <c r="AA292" s="116"/>
      <c r="AB292" s="114" t="str">
        <f t="shared" si="157"/>
        <v>0-20</v>
      </c>
      <c r="AC292" s="114">
        <f t="shared" si="158"/>
        <v>3844.3574443810608</v>
      </c>
      <c r="AD292" s="129">
        <v>45</v>
      </c>
      <c r="AE292" s="129" t="str">
        <f t="shared" si="166"/>
        <v>31-50</v>
      </c>
      <c r="AF292" s="129">
        <f t="shared" si="167"/>
        <v>5073.1976040297868</v>
      </c>
      <c r="AG292" s="138">
        <v>59</v>
      </c>
      <c r="AH292" s="138" t="str">
        <f t="shared" si="174"/>
        <v>51-80</v>
      </c>
      <c r="AI292" s="138">
        <f t="shared" si="175"/>
        <v>6509</v>
      </c>
      <c r="AJ292" s="36"/>
      <c r="AK292" s="36"/>
      <c r="AL292" s="37"/>
      <c r="AM292" s="79"/>
      <c r="AN292" s="79"/>
      <c r="AO292" s="79"/>
      <c r="AP292" s="133"/>
      <c r="AQ292" s="133" t="str">
        <f t="shared" si="164"/>
        <v>0-20</v>
      </c>
      <c r="AR292" s="133">
        <f t="shared" si="165"/>
        <v>3844.3574443810608</v>
      </c>
      <c r="AS292" s="131"/>
      <c r="AT292" s="131"/>
      <c r="AU292" s="4"/>
    </row>
    <row r="293" spans="1:51" x14ac:dyDescent="0.25">
      <c r="A293" s="32"/>
      <c r="B293" s="13" t="s">
        <v>21</v>
      </c>
      <c r="C293" s="11"/>
      <c r="D293" s="113" t="s">
        <v>1213</v>
      </c>
      <c r="E293" s="77" t="s">
        <v>1214</v>
      </c>
      <c r="F293" s="34" t="s">
        <v>1215</v>
      </c>
      <c r="G293" s="6" t="s">
        <v>1216</v>
      </c>
      <c r="H293" s="33">
        <v>421204</v>
      </c>
      <c r="I293" s="90">
        <v>89</v>
      </c>
      <c r="J293" s="90" t="str">
        <f>VLOOKUP(I293,$AV$3:$AW$9,2,1)</f>
        <v>81-110</v>
      </c>
      <c r="K293" s="91">
        <f t="shared" si="180"/>
        <v>8747.8561594387575</v>
      </c>
      <c r="L293" s="35">
        <v>28</v>
      </c>
      <c r="M293" s="35" t="str">
        <f t="shared" si="181"/>
        <v>21-30</v>
      </c>
      <c r="N293" s="36">
        <f t="shared" si="161"/>
        <v>4508.6394748902885</v>
      </c>
      <c r="O293" s="51">
        <v>63</v>
      </c>
      <c r="P293" s="51" t="str">
        <f t="shared" si="153"/>
        <v>51-80</v>
      </c>
      <c r="Q293" s="51">
        <f t="shared" si="149"/>
        <v>6509</v>
      </c>
      <c r="R293" s="49">
        <v>39</v>
      </c>
      <c r="S293" s="49" t="str">
        <f t="shared" si="150"/>
        <v>31-50</v>
      </c>
      <c r="T293" s="49">
        <f t="shared" si="151"/>
        <v>5073.1976040297868</v>
      </c>
      <c r="U293" s="50">
        <v>38</v>
      </c>
      <c r="V293" s="50" t="str">
        <f t="shared" si="154"/>
        <v>31-50</v>
      </c>
      <c r="W293" s="50">
        <f t="shared" si="152"/>
        <v>5073.1976040297868</v>
      </c>
      <c r="X293" s="143" t="s">
        <v>1458</v>
      </c>
      <c r="Y293" s="143" t="e">
        <f t="shared" si="155"/>
        <v>#N/A</v>
      </c>
      <c r="Z293" s="143" t="e">
        <f t="shared" si="156"/>
        <v>#N/A</v>
      </c>
      <c r="AA293" s="116"/>
      <c r="AB293" s="114" t="str">
        <f t="shared" si="157"/>
        <v>0-20</v>
      </c>
      <c r="AC293" s="114">
        <f t="shared" si="158"/>
        <v>3844.3574443810608</v>
      </c>
      <c r="AD293" s="129"/>
      <c r="AE293" s="129" t="str">
        <f t="shared" si="166"/>
        <v>0-20</v>
      </c>
      <c r="AF293" s="129">
        <f t="shared" si="167"/>
        <v>3844.3574443810608</v>
      </c>
      <c r="AG293" s="138">
        <v>80</v>
      </c>
      <c r="AH293" s="138" t="str">
        <f t="shared" si="174"/>
        <v>51-80</v>
      </c>
      <c r="AI293" s="138">
        <f t="shared" si="175"/>
        <v>6509</v>
      </c>
      <c r="AJ293" s="36"/>
      <c r="AK293" s="36"/>
      <c r="AL293" s="37"/>
      <c r="AM293" s="37"/>
      <c r="AN293" s="3"/>
      <c r="AO293" s="119"/>
      <c r="AP293" s="133"/>
      <c r="AQ293" s="133" t="str">
        <f t="shared" si="164"/>
        <v>0-20</v>
      </c>
      <c r="AR293" s="133">
        <f t="shared" si="165"/>
        <v>3844.3574443810608</v>
      </c>
      <c r="AS293" s="131"/>
      <c r="AT293" s="131"/>
      <c r="AU293" s="41"/>
      <c r="AV293" s="41"/>
      <c r="AW293" s="41"/>
    </row>
    <row r="294" spans="1:51" s="14" customFormat="1" x14ac:dyDescent="0.25">
      <c r="A294" s="53"/>
      <c r="B294" s="13" t="s">
        <v>21</v>
      </c>
      <c r="C294" s="89"/>
      <c r="D294" s="89" t="s">
        <v>1217</v>
      </c>
      <c r="E294" s="89" t="s">
        <v>1218</v>
      </c>
      <c r="F294" s="71" t="s">
        <v>1219</v>
      </c>
      <c r="G294" s="6" t="s">
        <v>511</v>
      </c>
      <c r="H294" s="33">
        <v>401107</v>
      </c>
      <c r="I294" s="90">
        <v>124</v>
      </c>
      <c r="J294" s="90" t="str">
        <f t="shared" ref="J294:J312" si="182">VLOOKUP(I294,$AV$4:$AW$9,2,1)</f>
        <v>110-130</v>
      </c>
      <c r="K294" s="91">
        <f t="shared" si="180"/>
        <v>10159.810450732197</v>
      </c>
      <c r="L294" s="99">
        <v>26</v>
      </c>
      <c r="M294" s="99" t="str">
        <f t="shared" si="181"/>
        <v>21-30</v>
      </c>
      <c r="N294" s="100">
        <f t="shared" si="161"/>
        <v>4508.6394748902885</v>
      </c>
      <c r="O294" s="51">
        <v>26</v>
      </c>
      <c r="P294" s="51" t="str">
        <f t="shared" si="153"/>
        <v>21-30</v>
      </c>
      <c r="Q294" s="51">
        <f t="shared" si="149"/>
        <v>4508.6394748902885</v>
      </c>
      <c r="R294" s="49">
        <v>20</v>
      </c>
      <c r="S294" s="49" t="str">
        <f t="shared" si="150"/>
        <v>0-20</v>
      </c>
      <c r="T294" s="49">
        <f t="shared" si="151"/>
        <v>3844.3574443810608</v>
      </c>
      <c r="U294" s="50">
        <v>27</v>
      </c>
      <c r="V294" s="50" t="str">
        <f t="shared" si="154"/>
        <v>21-30</v>
      </c>
      <c r="W294" s="50">
        <f t="shared" si="152"/>
        <v>4508.6394748902885</v>
      </c>
      <c r="X294" s="143" t="s">
        <v>1458</v>
      </c>
      <c r="Y294" s="143" t="e">
        <f t="shared" si="155"/>
        <v>#N/A</v>
      </c>
      <c r="Z294" s="143" t="e">
        <f t="shared" si="156"/>
        <v>#N/A</v>
      </c>
      <c r="AA294" s="116"/>
      <c r="AB294" s="114" t="str">
        <f t="shared" si="157"/>
        <v>0-20</v>
      </c>
      <c r="AC294" s="114">
        <f t="shared" si="158"/>
        <v>3844.3574443810608</v>
      </c>
      <c r="AD294" s="129"/>
      <c r="AE294" s="129" t="str">
        <f t="shared" si="166"/>
        <v>0-20</v>
      </c>
      <c r="AF294" s="129">
        <f t="shared" si="167"/>
        <v>3844.3574443810608</v>
      </c>
      <c r="AG294" s="138">
        <v>72</v>
      </c>
      <c r="AH294" s="138" t="str">
        <f t="shared" si="174"/>
        <v>51-80</v>
      </c>
      <c r="AI294" s="138">
        <f t="shared" si="175"/>
        <v>6509</v>
      </c>
      <c r="AJ294" s="36"/>
      <c r="AK294" s="36"/>
      <c r="AL294" s="37"/>
      <c r="AM294" s="79"/>
      <c r="AN294" s="79"/>
      <c r="AO294" s="79"/>
      <c r="AP294" s="133"/>
      <c r="AQ294" s="133" t="str">
        <f t="shared" si="164"/>
        <v>0-20</v>
      </c>
      <c r="AR294" s="133">
        <f t="shared" si="165"/>
        <v>3844.3574443810608</v>
      </c>
      <c r="AS294" s="131"/>
      <c r="AT294" s="131"/>
      <c r="AU294" s="4"/>
    </row>
    <row r="295" spans="1:51" s="14" customFormat="1" x14ac:dyDescent="0.25">
      <c r="A295" s="53"/>
      <c r="B295" s="13" t="s">
        <v>21</v>
      </c>
      <c r="C295" s="89"/>
      <c r="D295" s="89" t="s">
        <v>1220</v>
      </c>
      <c r="E295" s="89" t="s">
        <v>1221</v>
      </c>
      <c r="F295" s="71" t="s">
        <v>1223</v>
      </c>
      <c r="G295" s="6" t="s">
        <v>1222</v>
      </c>
      <c r="H295" s="33">
        <v>421202</v>
      </c>
      <c r="I295" s="90">
        <v>97</v>
      </c>
      <c r="J295" s="90" t="str">
        <f t="shared" si="182"/>
        <v>81-110</v>
      </c>
      <c r="K295" s="91">
        <f t="shared" si="180"/>
        <v>8747.8561594387575</v>
      </c>
      <c r="L295" s="35">
        <v>30</v>
      </c>
      <c r="M295" s="35" t="str">
        <f t="shared" si="181"/>
        <v>21-30</v>
      </c>
      <c r="N295" s="36">
        <f t="shared" si="161"/>
        <v>4508.6394748902885</v>
      </c>
      <c r="O295" s="51">
        <v>50</v>
      </c>
      <c r="P295" s="51" t="str">
        <f t="shared" si="153"/>
        <v>31-50</v>
      </c>
      <c r="Q295" s="51">
        <f t="shared" si="149"/>
        <v>5073.1976040297868</v>
      </c>
      <c r="R295" s="49">
        <v>43</v>
      </c>
      <c r="S295" s="49" t="str">
        <f t="shared" si="150"/>
        <v>31-50</v>
      </c>
      <c r="T295" s="49">
        <f t="shared" si="151"/>
        <v>5073.1976040297868</v>
      </c>
      <c r="U295" s="50">
        <v>45</v>
      </c>
      <c r="V295" s="50" t="str">
        <f t="shared" si="154"/>
        <v>31-50</v>
      </c>
      <c r="W295" s="50">
        <f t="shared" si="152"/>
        <v>5073.1976040297868</v>
      </c>
      <c r="X295" s="143">
        <v>22</v>
      </c>
      <c r="Y295" s="143" t="str">
        <f t="shared" si="155"/>
        <v>21-30</v>
      </c>
      <c r="Z295" s="143">
        <f t="shared" si="156"/>
        <v>4508.6394748902885</v>
      </c>
      <c r="AA295" s="116"/>
      <c r="AB295" s="114" t="str">
        <f t="shared" si="157"/>
        <v>0-20</v>
      </c>
      <c r="AC295" s="114">
        <f t="shared" si="158"/>
        <v>3844.3574443810608</v>
      </c>
      <c r="AD295" s="129"/>
      <c r="AE295" s="129" t="str">
        <f t="shared" si="166"/>
        <v>0-20</v>
      </c>
      <c r="AF295" s="129">
        <f t="shared" si="167"/>
        <v>3844.3574443810608</v>
      </c>
      <c r="AG295" s="138">
        <v>80</v>
      </c>
      <c r="AH295" s="138" t="str">
        <f t="shared" si="174"/>
        <v>51-80</v>
      </c>
      <c r="AI295" s="138">
        <f t="shared" si="175"/>
        <v>6509</v>
      </c>
      <c r="AJ295" s="36"/>
      <c r="AK295" s="36"/>
      <c r="AL295" s="37"/>
      <c r="AM295" s="79"/>
      <c r="AN295" s="79"/>
      <c r="AO295" s="79"/>
      <c r="AP295" s="133"/>
      <c r="AQ295" s="133" t="str">
        <f t="shared" si="164"/>
        <v>0-20</v>
      </c>
      <c r="AR295" s="133">
        <f t="shared" si="165"/>
        <v>3844.3574443810608</v>
      </c>
      <c r="AS295" s="131"/>
      <c r="AT295" s="131"/>
      <c r="AU295" s="4"/>
    </row>
    <row r="296" spans="1:51" s="14" customFormat="1" x14ac:dyDescent="0.25">
      <c r="A296" s="53"/>
      <c r="B296" s="13" t="s">
        <v>21</v>
      </c>
      <c r="C296" s="89"/>
      <c r="D296" t="s">
        <v>1224</v>
      </c>
      <c r="E296" t="s">
        <v>1225</v>
      </c>
      <c r="F296" s="71" t="s">
        <v>1226</v>
      </c>
      <c r="G296" s="6" t="s">
        <v>1193</v>
      </c>
      <c r="H296" s="33">
        <v>421004</v>
      </c>
      <c r="I296" s="35">
        <v>99</v>
      </c>
      <c r="J296" s="35" t="str">
        <f t="shared" si="182"/>
        <v>81-110</v>
      </c>
      <c r="K296" s="36">
        <f t="shared" si="180"/>
        <v>8747.8561594387575</v>
      </c>
      <c r="L296" s="35">
        <v>30</v>
      </c>
      <c r="M296" s="35" t="str">
        <f t="shared" si="181"/>
        <v>21-30</v>
      </c>
      <c r="N296" s="36">
        <f t="shared" si="161"/>
        <v>4508.6394748902885</v>
      </c>
      <c r="O296" s="51">
        <v>50</v>
      </c>
      <c r="P296" s="51" t="str">
        <f t="shared" si="153"/>
        <v>31-50</v>
      </c>
      <c r="Q296" s="51">
        <f t="shared" si="149"/>
        <v>5073.1976040297868</v>
      </c>
      <c r="R296" s="49">
        <v>56</v>
      </c>
      <c r="S296" s="49" t="str">
        <f t="shared" si="150"/>
        <v>51-80</v>
      </c>
      <c r="T296" s="49">
        <f t="shared" si="151"/>
        <v>6509</v>
      </c>
      <c r="U296" s="50">
        <v>46</v>
      </c>
      <c r="V296" s="50" t="str">
        <f t="shared" si="154"/>
        <v>31-50</v>
      </c>
      <c r="W296" s="50">
        <f t="shared" si="152"/>
        <v>5073.1976040297868</v>
      </c>
      <c r="X296" s="143" t="s">
        <v>1458</v>
      </c>
      <c r="Y296" s="143" t="e">
        <f t="shared" si="155"/>
        <v>#N/A</v>
      </c>
      <c r="Z296" s="143" t="e">
        <f t="shared" si="156"/>
        <v>#N/A</v>
      </c>
      <c r="AA296" s="116"/>
      <c r="AB296" s="114" t="str">
        <f t="shared" si="157"/>
        <v>0-20</v>
      </c>
      <c r="AC296" s="114">
        <f t="shared" si="158"/>
        <v>3844.3574443810608</v>
      </c>
      <c r="AD296" s="129"/>
      <c r="AE296" s="129" t="str">
        <f t="shared" si="166"/>
        <v>0-20</v>
      </c>
      <c r="AF296" s="129">
        <f t="shared" si="167"/>
        <v>3844.3574443810608</v>
      </c>
      <c r="AG296" s="138">
        <v>79</v>
      </c>
      <c r="AH296" s="138" t="str">
        <f t="shared" si="174"/>
        <v>51-80</v>
      </c>
      <c r="AI296" s="138">
        <f t="shared" si="175"/>
        <v>6509</v>
      </c>
      <c r="AJ296" s="36"/>
      <c r="AK296" s="36"/>
      <c r="AL296" s="37"/>
      <c r="AM296" s="79"/>
      <c r="AN296" s="79"/>
      <c r="AO296" s="79"/>
      <c r="AP296" s="133"/>
      <c r="AQ296" s="133" t="str">
        <f t="shared" si="164"/>
        <v>0-20</v>
      </c>
      <c r="AR296" s="133">
        <f t="shared" si="165"/>
        <v>3844.3574443810608</v>
      </c>
      <c r="AS296" s="131"/>
      <c r="AT296" s="131"/>
      <c r="AU296" s="4"/>
    </row>
    <row r="297" spans="1:51" s="14" customFormat="1" x14ac:dyDescent="0.25">
      <c r="A297" s="53"/>
      <c r="B297" s="13" t="s">
        <v>21</v>
      </c>
      <c r="C297" s="89"/>
      <c r="D297" s="89" t="s">
        <v>1227</v>
      </c>
      <c r="E297" s="89" t="s">
        <v>1228</v>
      </c>
      <c r="F297" s="71" t="s">
        <v>1229</v>
      </c>
      <c r="G297" s="6" t="s">
        <v>1209</v>
      </c>
      <c r="H297" s="33">
        <v>421303</v>
      </c>
      <c r="I297" s="35">
        <v>161</v>
      </c>
      <c r="J297" s="35" t="str">
        <f t="shared" si="182"/>
        <v>110-130</v>
      </c>
      <c r="K297" s="36">
        <f t="shared" si="180"/>
        <v>10159.810450732197</v>
      </c>
      <c r="L297" s="35">
        <v>73</v>
      </c>
      <c r="M297" s="35" t="str">
        <f t="shared" si="181"/>
        <v>51-80</v>
      </c>
      <c r="N297" s="36">
        <f t="shared" si="161"/>
        <v>6509</v>
      </c>
      <c r="O297" s="51">
        <v>60</v>
      </c>
      <c r="P297" s="51" t="str">
        <f t="shared" si="153"/>
        <v>51-80</v>
      </c>
      <c r="Q297" s="51">
        <f t="shared" si="149"/>
        <v>6509</v>
      </c>
      <c r="R297" s="49">
        <v>102</v>
      </c>
      <c r="S297" s="49" t="str">
        <f t="shared" si="150"/>
        <v>81-110</v>
      </c>
      <c r="T297" s="49">
        <f t="shared" si="151"/>
        <v>8747.8561594387575</v>
      </c>
      <c r="U297" s="50">
        <v>89</v>
      </c>
      <c r="V297" s="50" t="str">
        <f t="shared" si="154"/>
        <v>81-110</v>
      </c>
      <c r="W297" s="50">
        <f t="shared" si="152"/>
        <v>8747.8561594387575</v>
      </c>
      <c r="X297" s="143" t="s">
        <v>1458</v>
      </c>
      <c r="Y297" s="143" t="e">
        <f t="shared" si="155"/>
        <v>#N/A</v>
      </c>
      <c r="Z297" s="143" t="e">
        <f t="shared" si="156"/>
        <v>#N/A</v>
      </c>
      <c r="AA297" s="116"/>
      <c r="AB297" s="114" t="str">
        <f t="shared" si="157"/>
        <v>0-20</v>
      </c>
      <c r="AC297" s="114">
        <f t="shared" si="158"/>
        <v>3844.3574443810608</v>
      </c>
      <c r="AD297" s="129"/>
      <c r="AE297" s="129" t="str">
        <f t="shared" si="166"/>
        <v>0-20</v>
      </c>
      <c r="AF297" s="129">
        <f t="shared" si="167"/>
        <v>3844.3574443810608</v>
      </c>
      <c r="AG297" s="138">
        <v>23</v>
      </c>
      <c r="AH297" s="138" t="str">
        <f t="shared" si="174"/>
        <v>21-30</v>
      </c>
      <c r="AI297" s="138">
        <f t="shared" si="175"/>
        <v>4508.6394748902885</v>
      </c>
      <c r="AJ297" s="36"/>
      <c r="AK297" s="36"/>
      <c r="AL297" s="37"/>
      <c r="AM297" s="79"/>
      <c r="AN297" s="79"/>
      <c r="AO297" s="79"/>
      <c r="AP297" s="133"/>
      <c r="AQ297" s="133" t="str">
        <f t="shared" si="164"/>
        <v>0-20</v>
      </c>
      <c r="AR297" s="133">
        <f t="shared" si="165"/>
        <v>3844.3574443810608</v>
      </c>
      <c r="AS297" s="131"/>
      <c r="AT297" s="131"/>
      <c r="AU297" s="4"/>
    </row>
    <row r="298" spans="1:51" s="14" customFormat="1" x14ac:dyDescent="0.25">
      <c r="A298" s="53"/>
      <c r="B298" s="13" t="s">
        <v>21</v>
      </c>
      <c r="C298" s="89"/>
      <c r="D298" s="89" t="s">
        <v>1230</v>
      </c>
      <c r="E298" s="89" t="s">
        <v>1231</v>
      </c>
      <c r="F298" s="71" t="s">
        <v>1232</v>
      </c>
      <c r="G298" s="6" t="s">
        <v>716</v>
      </c>
      <c r="H298" s="33">
        <v>421306</v>
      </c>
      <c r="I298" s="35">
        <v>94</v>
      </c>
      <c r="J298" s="35" t="str">
        <f t="shared" si="182"/>
        <v>81-110</v>
      </c>
      <c r="K298" s="36">
        <f t="shared" si="180"/>
        <v>8747.8561594387575</v>
      </c>
      <c r="L298" s="35">
        <v>25</v>
      </c>
      <c r="M298" s="35" t="str">
        <f t="shared" si="181"/>
        <v>21-30</v>
      </c>
      <c r="N298" s="36">
        <f t="shared" si="161"/>
        <v>4508.6394748902885</v>
      </c>
      <c r="O298" s="51">
        <v>54</v>
      </c>
      <c r="P298" s="51" t="str">
        <f t="shared" si="153"/>
        <v>51-80</v>
      </c>
      <c r="Q298" s="51">
        <f t="shared" si="149"/>
        <v>6509</v>
      </c>
      <c r="R298" s="49">
        <v>47</v>
      </c>
      <c r="S298" s="49" t="str">
        <f t="shared" si="150"/>
        <v>31-50</v>
      </c>
      <c r="T298" s="49">
        <f t="shared" si="151"/>
        <v>5073.1976040297868</v>
      </c>
      <c r="U298" s="50">
        <v>40</v>
      </c>
      <c r="V298" s="50" t="str">
        <f t="shared" si="154"/>
        <v>31-50</v>
      </c>
      <c r="W298" s="50">
        <f t="shared" si="152"/>
        <v>5073.1976040297868</v>
      </c>
      <c r="X298" s="143">
        <v>22</v>
      </c>
      <c r="Y298" s="143" t="str">
        <f t="shared" si="155"/>
        <v>21-30</v>
      </c>
      <c r="Z298" s="143">
        <f t="shared" si="156"/>
        <v>4508.6394748902885</v>
      </c>
      <c r="AA298" s="116"/>
      <c r="AB298" s="114" t="str">
        <f t="shared" si="157"/>
        <v>0-20</v>
      </c>
      <c r="AC298" s="114">
        <f t="shared" si="158"/>
        <v>3844.3574443810608</v>
      </c>
      <c r="AD298" s="129"/>
      <c r="AE298" s="129" t="str">
        <f t="shared" si="166"/>
        <v>0-20</v>
      </c>
      <c r="AF298" s="129">
        <f t="shared" si="167"/>
        <v>3844.3574443810608</v>
      </c>
      <c r="AG298" s="139">
        <v>109</v>
      </c>
      <c r="AH298" s="138" t="str">
        <f t="shared" si="174"/>
        <v>81-110</v>
      </c>
      <c r="AI298" s="138">
        <f t="shared" si="175"/>
        <v>8747.8561594387575</v>
      </c>
      <c r="AJ298" s="36"/>
      <c r="AK298" s="36"/>
      <c r="AL298" s="37"/>
      <c r="AM298" s="79"/>
      <c r="AN298" s="79"/>
      <c r="AO298" s="79"/>
      <c r="AP298" s="133"/>
      <c r="AQ298" s="133" t="str">
        <f t="shared" si="164"/>
        <v>0-20</v>
      </c>
      <c r="AR298" s="133">
        <f t="shared" si="165"/>
        <v>3844.3574443810608</v>
      </c>
      <c r="AS298" s="131"/>
      <c r="AT298" s="131"/>
      <c r="AU298" s="4"/>
    </row>
    <row r="299" spans="1:51" s="14" customFormat="1" x14ac:dyDescent="0.25">
      <c r="A299" s="53"/>
      <c r="B299" s="13" t="s">
        <v>21</v>
      </c>
      <c r="C299" s="89"/>
      <c r="D299" s="89" t="s">
        <v>1233</v>
      </c>
      <c r="E299" s="89" t="s">
        <v>638</v>
      </c>
      <c r="F299" s="71" t="s">
        <v>1258</v>
      </c>
      <c r="G299" s="6" t="s">
        <v>0</v>
      </c>
      <c r="H299" s="33">
        <v>401201</v>
      </c>
      <c r="I299" s="35">
        <v>137</v>
      </c>
      <c r="J299" s="35" t="str">
        <f t="shared" si="182"/>
        <v>110-130</v>
      </c>
      <c r="K299" s="36">
        <f t="shared" si="180"/>
        <v>10159.810450732197</v>
      </c>
      <c r="L299" s="35">
        <v>44</v>
      </c>
      <c r="M299" s="35" t="str">
        <f t="shared" si="181"/>
        <v>31-50</v>
      </c>
      <c r="N299" s="36">
        <f t="shared" si="161"/>
        <v>5073.1976040297868</v>
      </c>
      <c r="O299" s="51">
        <v>10</v>
      </c>
      <c r="P299" s="51" t="str">
        <f t="shared" si="153"/>
        <v>0-20</v>
      </c>
      <c r="Q299" s="51">
        <f t="shared" si="149"/>
        <v>3844.3574443810608</v>
      </c>
      <c r="R299" s="49">
        <v>44</v>
      </c>
      <c r="S299" s="49" t="str">
        <f t="shared" si="150"/>
        <v>31-50</v>
      </c>
      <c r="T299" s="49">
        <f t="shared" si="151"/>
        <v>5073.1976040297868</v>
      </c>
      <c r="U299" s="50">
        <v>59</v>
      </c>
      <c r="V299" s="50" t="str">
        <f t="shared" si="154"/>
        <v>51-80</v>
      </c>
      <c r="W299" s="50">
        <f t="shared" si="152"/>
        <v>6509</v>
      </c>
      <c r="X299" s="143">
        <v>51</v>
      </c>
      <c r="Y299" s="143" t="str">
        <f t="shared" si="155"/>
        <v>51-80</v>
      </c>
      <c r="Z299" s="143">
        <f t="shared" si="156"/>
        <v>6509</v>
      </c>
      <c r="AA299" s="116">
        <v>41</v>
      </c>
      <c r="AB299" s="114" t="str">
        <f t="shared" si="157"/>
        <v>31-50</v>
      </c>
      <c r="AC299" s="114">
        <f t="shared" si="158"/>
        <v>5073.1976040297868</v>
      </c>
      <c r="AD299" s="129"/>
      <c r="AE299" s="129" t="str">
        <f t="shared" si="166"/>
        <v>0-20</v>
      </c>
      <c r="AF299" s="129">
        <f t="shared" si="167"/>
        <v>3844.3574443810608</v>
      </c>
      <c r="AG299" s="138">
        <v>57</v>
      </c>
      <c r="AH299" s="138" t="str">
        <f t="shared" si="174"/>
        <v>51-80</v>
      </c>
      <c r="AI299" s="138">
        <f t="shared" si="175"/>
        <v>6509</v>
      </c>
      <c r="AJ299" s="36"/>
      <c r="AK299" s="36"/>
      <c r="AL299" s="37"/>
      <c r="AM299" s="79"/>
      <c r="AN299" s="79"/>
      <c r="AO299" s="79"/>
      <c r="AP299" s="133"/>
      <c r="AQ299" s="133" t="str">
        <f t="shared" si="164"/>
        <v>0-20</v>
      </c>
      <c r="AR299" s="133">
        <f t="shared" si="165"/>
        <v>3844.3574443810608</v>
      </c>
      <c r="AS299" s="131"/>
      <c r="AT299" s="131"/>
      <c r="AU299" s="4"/>
    </row>
    <row r="300" spans="1:51" s="14" customFormat="1" x14ac:dyDescent="0.25">
      <c r="A300" s="53"/>
      <c r="B300" s="13" t="s">
        <v>21</v>
      </c>
      <c r="C300" s="89"/>
      <c r="D300" s="89" t="s">
        <v>1234</v>
      </c>
      <c r="E300" s="89" t="s">
        <v>1235</v>
      </c>
      <c r="F300" s="71" t="s">
        <v>1236</v>
      </c>
      <c r="G300" s="6" t="s">
        <v>1237</v>
      </c>
      <c r="H300" s="33">
        <v>410210</v>
      </c>
      <c r="I300" s="90">
        <v>84</v>
      </c>
      <c r="J300" s="90" t="str">
        <f t="shared" si="182"/>
        <v>81-110</v>
      </c>
      <c r="K300" s="91">
        <f t="shared" si="180"/>
        <v>8747.8561594387575</v>
      </c>
      <c r="L300" s="35">
        <v>33</v>
      </c>
      <c r="M300" s="35" t="str">
        <f t="shared" si="181"/>
        <v>31-50</v>
      </c>
      <c r="N300" s="36">
        <f t="shared" si="161"/>
        <v>5073.1976040297868</v>
      </c>
      <c r="O300" s="51">
        <v>63</v>
      </c>
      <c r="P300" s="51" t="str">
        <f t="shared" si="153"/>
        <v>51-80</v>
      </c>
      <c r="Q300" s="51">
        <f t="shared" si="149"/>
        <v>6509</v>
      </c>
      <c r="R300" s="49">
        <v>37</v>
      </c>
      <c r="S300" s="49" t="str">
        <f t="shared" si="150"/>
        <v>31-50</v>
      </c>
      <c r="T300" s="49">
        <f t="shared" si="151"/>
        <v>5073.1976040297868</v>
      </c>
      <c r="U300" s="50">
        <v>30</v>
      </c>
      <c r="V300" s="50" t="str">
        <f t="shared" si="154"/>
        <v>21-30</v>
      </c>
      <c r="W300" s="50">
        <f t="shared" si="152"/>
        <v>4508.6394748902885</v>
      </c>
      <c r="X300" s="143" t="s">
        <v>1458</v>
      </c>
      <c r="Y300" s="143" t="e">
        <f t="shared" si="155"/>
        <v>#N/A</v>
      </c>
      <c r="Z300" s="143" t="e">
        <f t="shared" si="156"/>
        <v>#N/A</v>
      </c>
      <c r="AA300" s="116"/>
      <c r="AB300" s="114" t="str">
        <f t="shared" si="157"/>
        <v>0-20</v>
      </c>
      <c r="AC300" s="114">
        <f t="shared" si="158"/>
        <v>3844.3574443810608</v>
      </c>
      <c r="AD300" s="129"/>
      <c r="AE300" s="129" t="str">
        <f t="shared" si="166"/>
        <v>0-20</v>
      </c>
      <c r="AF300" s="129">
        <f t="shared" si="167"/>
        <v>3844.3574443810608</v>
      </c>
      <c r="AG300" s="138">
        <v>111</v>
      </c>
      <c r="AH300" s="138" t="str">
        <f t="shared" si="174"/>
        <v>110-130</v>
      </c>
      <c r="AI300" s="138">
        <f t="shared" si="175"/>
        <v>10159.810450732197</v>
      </c>
      <c r="AJ300" s="36">
        <v>29</v>
      </c>
      <c r="AK300" s="36" t="str">
        <f t="shared" ref="AK300" si="183">VLOOKUP(AJ300,$AV$3:$AW$9,2,1)</f>
        <v>21-30</v>
      </c>
      <c r="AL300" s="37">
        <f t="shared" ref="AL300" si="184">VLOOKUP(AK300,$AW$3:$AX$9,2,0)</f>
        <v>4508.6394748902885</v>
      </c>
      <c r="AM300" s="80">
        <v>38</v>
      </c>
      <c r="AN300" s="81" t="str">
        <f t="shared" ref="AN300" si="185">VLOOKUP(AM300,$AV$4:$AW$9,2,1)</f>
        <v>31-50</v>
      </c>
      <c r="AO300" s="120">
        <f t="shared" ref="AO300" si="186">VLOOKUP(AN300,$AW$3:$AX$9,2,0)</f>
        <v>5073.1976040297868</v>
      </c>
      <c r="AP300" s="133"/>
      <c r="AQ300" s="133" t="str">
        <f t="shared" si="164"/>
        <v>0-20</v>
      </c>
      <c r="AR300" s="133">
        <f t="shared" si="165"/>
        <v>3844.3574443810608</v>
      </c>
      <c r="AS300" s="131"/>
      <c r="AT300" s="131"/>
      <c r="AU300" s="4"/>
    </row>
    <row r="301" spans="1:51" s="14" customFormat="1" x14ac:dyDescent="0.25">
      <c r="A301" s="53"/>
      <c r="B301" s="13" t="s">
        <v>21</v>
      </c>
      <c r="C301" s="89"/>
      <c r="D301" s="89" t="s">
        <v>1238</v>
      </c>
      <c r="E301" s="89" t="s">
        <v>1239</v>
      </c>
      <c r="F301" s="71" t="s">
        <v>1503</v>
      </c>
      <c r="G301" s="10" t="s">
        <v>1240</v>
      </c>
      <c r="H301" s="33">
        <v>421201</v>
      </c>
      <c r="I301" s="35">
        <v>96</v>
      </c>
      <c r="J301" s="35" t="str">
        <f t="shared" si="182"/>
        <v>81-110</v>
      </c>
      <c r="K301" s="36">
        <f t="shared" si="180"/>
        <v>8747.8561594387575</v>
      </c>
      <c r="L301" s="35">
        <v>20</v>
      </c>
      <c r="M301" s="35" t="str">
        <f t="shared" si="181"/>
        <v>0-20</v>
      </c>
      <c r="N301" s="36">
        <f t="shared" si="161"/>
        <v>3844.3574443810608</v>
      </c>
      <c r="O301" s="51">
        <v>42</v>
      </c>
      <c r="P301" s="51" t="str">
        <f t="shared" si="153"/>
        <v>31-50</v>
      </c>
      <c r="Q301" s="51">
        <f t="shared" si="149"/>
        <v>5073.1976040297868</v>
      </c>
      <c r="R301" s="49">
        <v>38</v>
      </c>
      <c r="S301" s="49" t="str">
        <f t="shared" si="150"/>
        <v>31-50</v>
      </c>
      <c r="T301" s="49">
        <f t="shared" si="151"/>
        <v>5073.1976040297868</v>
      </c>
      <c r="U301" s="50">
        <v>36</v>
      </c>
      <c r="V301" s="50" t="str">
        <f t="shared" si="154"/>
        <v>31-50</v>
      </c>
      <c r="W301" s="50">
        <f t="shared" si="152"/>
        <v>5073.1976040297868</v>
      </c>
      <c r="X301" s="143">
        <v>23</v>
      </c>
      <c r="Y301" s="143" t="str">
        <f t="shared" si="155"/>
        <v>21-30</v>
      </c>
      <c r="Z301" s="143">
        <f t="shared" si="156"/>
        <v>4508.6394748902885</v>
      </c>
      <c r="AA301" s="116"/>
      <c r="AB301" s="114" t="str">
        <f t="shared" si="157"/>
        <v>0-20</v>
      </c>
      <c r="AC301" s="114">
        <f t="shared" si="158"/>
        <v>3844.3574443810608</v>
      </c>
      <c r="AD301" s="129"/>
      <c r="AE301" s="129" t="str">
        <f t="shared" si="166"/>
        <v>0-20</v>
      </c>
      <c r="AF301" s="129">
        <f t="shared" si="167"/>
        <v>3844.3574443810608</v>
      </c>
      <c r="AG301" s="138">
        <v>85</v>
      </c>
      <c r="AH301" s="138" t="str">
        <f t="shared" si="174"/>
        <v>81-110</v>
      </c>
      <c r="AI301" s="138">
        <f t="shared" si="175"/>
        <v>8747.8561594387575</v>
      </c>
      <c r="AJ301" s="36"/>
      <c r="AK301" s="36"/>
      <c r="AL301" s="37"/>
      <c r="AM301" s="79"/>
      <c r="AN301" s="79"/>
      <c r="AO301" s="79"/>
      <c r="AP301" s="133"/>
      <c r="AQ301" s="133" t="str">
        <f t="shared" si="164"/>
        <v>0-20</v>
      </c>
      <c r="AR301" s="133">
        <f t="shared" si="165"/>
        <v>3844.3574443810608</v>
      </c>
      <c r="AS301" s="131"/>
      <c r="AT301" s="131"/>
      <c r="AU301" s="4"/>
    </row>
    <row r="302" spans="1:51" s="14" customFormat="1" x14ac:dyDescent="0.25">
      <c r="A302" s="53"/>
      <c r="B302" s="13" t="s">
        <v>21</v>
      </c>
      <c r="C302" s="89"/>
      <c r="D302" s="89" t="s">
        <v>1241</v>
      </c>
      <c r="E302" s="89" t="s">
        <v>1242</v>
      </c>
      <c r="F302" s="71" t="s">
        <v>1243</v>
      </c>
      <c r="G302" s="6" t="s">
        <v>744</v>
      </c>
      <c r="H302" s="33">
        <v>421401</v>
      </c>
      <c r="I302" s="35">
        <v>115</v>
      </c>
      <c r="J302" s="35" t="str">
        <f t="shared" si="182"/>
        <v>110-130</v>
      </c>
      <c r="K302" s="36">
        <f t="shared" si="180"/>
        <v>10159.810450732197</v>
      </c>
      <c r="L302" s="35">
        <v>90</v>
      </c>
      <c r="M302" s="35" t="str">
        <f t="shared" si="181"/>
        <v>81-110</v>
      </c>
      <c r="N302" s="36">
        <f t="shared" si="161"/>
        <v>8747.8561594387575</v>
      </c>
      <c r="O302" s="51">
        <v>93</v>
      </c>
      <c r="P302" s="51" t="str">
        <f t="shared" si="153"/>
        <v>81-110</v>
      </c>
      <c r="Q302" s="51">
        <f t="shared" si="149"/>
        <v>8747.8561594387575</v>
      </c>
      <c r="R302" s="49">
        <v>92</v>
      </c>
      <c r="S302" s="49" t="str">
        <f t="shared" si="150"/>
        <v>81-110</v>
      </c>
      <c r="T302" s="49">
        <f t="shared" si="151"/>
        <v>8747.8561594387575</v>
      </c>
      <c r="U302" s="50">
        <v>90</v>
      </c>
      <c r="V302" s="50" t="str">
        <f t="shared" si="154"/>
        <v>81-110</v>
      </c>
      <c r="W302" s="50">
        <f t="shared" si="152"/>
        <v>8747.8561594387575</v>
      </c>
      <c r="X302" s="143">
        <v>68</v>
      </c>
      <c r="Y302" s="143" t="str">
        <f t="shared" si="155"/>
        <v>51-80</v>
      </c>
      <c r="Z302" s="143">
        <f t="shared" si="156"/>
        <v>6509</v>
      </c>
      <c r="AA302" s="116"/>
      <c r="AB302" s="114" t="str">
        <f t="shared" si="157"/>
        <v>0-20</v>
      </c>
      <c r="AC302" s="114">
        <f t="shared" si="158"/>
        <v>3844.3574443810608</v>
      </c>
      <c r="AD302" s="129">
        <v>36</v>
      </c>
      <c r="AE302" s="129" t="str">
        <f t="shared" si="166"/>
        <v>31-50</v>
      </c>
      <c r="AF302" s="129">
        <f t="shared" si="167"/>
        <v>5073.1976040297868</v>
      </c>
      <c r="AG302" s="138">
        <v>88</v>
      </c>
      <c r="AH302" s="138" t="str">
        <f t="shared" si="174"/>
        <v>81-110</v>
      </c>
      <c r="AI302" s="138">
        <f t="shared" si="175"/>
        <v>8747.8561594387575</v>
      </c>
      <c r="AJ302" s="36"/>
      <c r="AK302" s="36"/>
      <c r="AL302" s="37"/>
      <c r="AM302" s="79"/>
      <c r="AN302" s="79"/>
      <c r="AO302" s="79"/>
      <c r="AP302" s="133"/>
      <c r="AQ302" s="133" t="str">
        <f t="shared" si="164"/>
        <v>0-20</v>
      </c>
      <c r="AR302" s="133">
        <f t="shared" si="165"/>
        <v>3844.3574443810608</v>
      </c>
      <c r="AS302" s="131"/>
      <c r="AT302" s="131"/>
      <c r="AU302" s="4"/>
    </row>
    <row r="303" spans="1:51" s="14" customFormat="1" x14ac:dyDescent="0.25">
      <c r="A303" s="53"/>
      <c r="B303" s="13" t="s">
        <v>21</v>
      </c>
      <c r="C303" s="89"/>
      <c r="D303" s="89" t="s">
        <v>1244</v>
      </c>
      <c r="E303" s="89" t="s">
        <v>1245</v>
      </c>
      <c r="F303" s="71" t="s">
        <v>1246</v>
      </c>
      <c r="G303" s="6" t="s">
        <v>558</v>
      </c>
      <c r="H303" s="33">
        <v>421302</v>
      </c>
      <c r="I303" s="35">
        <v>110</v>
      </c>
      <c r="J303" s="35" t="str">
        <f t="shared" si="182"/>
        <v>110-130</v>
      </c>
      <c r="K303" s="36">
        <f t="shared" si="180"/>
        <v>10159.810450732197</v>
      </c>
      <c r="L303" s="35">
        <v>22</v>
      </c>
      <c r="M303" s="35" t="str">
        <f t="shared" si="181"/>
        <v>21-30</v>
      </c>
      <c r="N303" s="36">
        <f t="shared" si="161"/>
        <v>4508.6394748902885</v>
      </c>
      <c r="O303" s="51">
        <v>35</v>
      </c>
      <c r="P303" s="51" t="str">
        <f t="shared" si="153"/>
        <v>31-50</v>
      </c>
      <c r="Q303" s="51">
        <f t="shared" si="149"/>
        <v>5073.1976040297868</v>
      </c>
      <c r="R303" s="49">
        <v>48</v>
      </c>
      <c r="S303" s="49" t="str">
        <f t="shared" si="150"/>
        <v>31-50</v>
      </c>
      <c r="T303" s="49">
        <f t="shared" si="151"/>
        <v>5073.1976040297868</v>
      </c>
      <c r="U303" s="50">
        <v>38</v>
      </c>
      <c r="V303" s="50" t="str">
        <f t="shared" si="154"/>
        <v>31-50</v>
      </c>
      <c r="W303" s="50">
        <f t="shared" si="152"/>
        <v>5073.1976040297868</v>
      </c>
      <c r="X303" s="143" t="s">
        <v>1458</v>
      </c>
      <c r="Y303" s="143" t="e">
        <f t="shared" si="155"/>
        <v>#N/A</v>
      </c>
      <c r="Z303" s="143" t="e">
        <f t="shared" si="156"/>
        <v>#N/A</v>
      </c>
      <c r="AA303" s="116"/>
      <c r="AB303" s="114" t="str">
        <f t="shared" si="157"/>
        <v>0-20</v>
      </c>
      <c r="AC303" s="114">
        <f t="shared" si="158"/>
        <v>3844.3574443810608</v>
      </c>
      <c r="AD303" s="129"/>
      <c r="AE303" s="129" t="str">
        <f t="shared" si="166"/>
        <v>0-20</v>
      </c>
      <c r="AF303" s="129">
        <f t="shared" si="167"/>
        <v>3844.3574443810608</v>
      </c>
      <c r="AG303" s="138">
        <v>75</v>
      </c>
      <c r="AH303" s="138" t="str">
        <f t="shared" si="174"/>
        <v>51-80</v>
      </c>
      <c r="AI303" s="138">
        <f t="shared" si="175"/>
        <v>6509</v>
      </c>
      <c r="AJ303" s="36"/>
      <c r="AK303" s="36"/>
      <c r="AL303" s="37"/>
      <c r="AM303" s="79"/>
      <c r="AN303" s="79"/>
      <c r="AO303" s="79"/>
      <c r="AP303" s="133"/>
      <c r="AQ303" s="133" t="str">
        <f t="shared" si="164"/>
        <v>0-20</v>
      </c>
      <c r="AR303" s="133">
        <f t="shared" si="165"/>
        <v>3844.3574443810608</v>
      </c>
      <c r="AS303" s="131"/>
      <c r="AT303" s="131"/>
      <c r="AU303" s="4"/>
    </row>
    <row r="304" spans="1:51" s="14" customFormat="1" x14ac:dyDescent="0.25">
      <c r="A304" s="53"/>
      <c r="B304" s="13" t="s">
        <v>21</v>
      </c>
      <c r="C304" s="89"/>
      <c r="D304" s="89" t="s">
        <v>1247</v>
      </c>
      <c r="E304" s="89" t="s">
        <v>1248</v>
      </c>
      <c r="F304" s="71" t="s">
        <v>1249</v>
      </c>
      <c r="G304" s="6" t="s">
        <v>1250</v>
      </c>
      <c r="H304" s="33">
        <v>421501</v>
      </c>
      <c r="I304" s="35">
        <v>99</v>
      </c>
      <c r="J304" s="35" t="str">
        <f t="shared" si="182"/>
        <v>81-110</v>
      </c>
      <c r="K304" s="36">
        <f t="shared" si="180"/>
        <v>8747.8561594387575</v>
      </c>
      <c r="L304" s="35">
        <v>32</v>
      </c>
      <c r="M304" s="35" t="str">
        <f t="shared" si="181"/>
        <v>31-50</v>
      </c>
      <c r="N304" s="36">
        <f t="shared" ref="N304:N312" si="187">VLOOKUP(M304,$AW$3:$AX$9,2,0)</f>
        <v>5073.1976040297868</v>
      </c>
      <c r="O304" s="51">
        <v>51</v>
      </c>
      <c r="P304" s="51" t="str">
        <f t="shared" si="153"/>
        <v>51-80</v>
      </c>
      <c r="Q304" s="51">
        <f t="shared" si="149"/>
        <v>6509</v>
      </c>
      <c r="R304" s="49">
        <v>50</v>
      </c>
      <c r="S304" s="49" t="str">
        <f t="shared" si="150"/>
        <v>31-50</v>
      </c>
      <c r="T304" s="49">
        <f t="shared" si="151"/>
        <v>5073.1976040297868</v>
      </c>
      <c r="U304" s="50">
        <v>47</v>
      </c>
      <c r="V304" s="50" t="str">
        <f t="shared" si="154"/>
        <v>31-50</v>
      </c>
      <c r="W304" s="50">
        <f t="shared" si="152"/>
        <v>5073.1976040297868</v>
      </c>
      <c r="X304" s="143">
        <v>29</v>
      </c>
      <c r="Y304" s="143" t="str">
        <f t="shared" si="155"/>
        <v>21-30</v>
      </c>
      <c r="Z304" s="143">
        <f t="shared" si="156"/>
        <v>4508.6394748902885</v>
      </c>
      <c r="AA304" s="116"/>
      <c r="AB304" s="114" t="str">
        <f t="shared" si="157"/>
        <v>0-20</v>
      </c>
      <c r="AC304" s="114">
        <f t="shared" si="158"/>
        <v>3844.3574443810608</v>
      </c>
      <c r="AD304" s="129">
        <v>18</v>
      </c>
      <c r="AE304" s="129" t="str">
        <f t="shared" si="166"/>
        <v>0-20</v>
      </c>
      <c r="AF304" s="129">
        <f t="shared" si="167"/>
        <v>3844.3574443810608</v>
      </c>
      <c r="AG304" s="138">
        <v>85</v>
      </c>
      <c r="AH304" s="138" t="str">
        <f t="shared" si="174"/>
        <v>81-110</v>
      </c>
      <c r="AI304" s="138">
        <f t="shared" si="175"/>
        <v>8747.8561594387575</v>
      </c>
      <c r="AJ304" s="36"/>
      <c r="AK304" s="36"/>
      <c r="AL304" s="37"/>
      <c r="AM304" s="79"/>
      <c r="AN304" s="79"/>
      <c r="AO304" s="79"/>
      <c r="AP304" s="133"/>
      <c r="AQ304" s="133" t="str">
        <f t="shared" si="164"/>
        <v>0-20</v>
      </c>
      <c r="AR304" s="133">
        <f t="shared" si="165"/>
        <v>3844.3574443810608</v>
      </c>
      <c r="AS304" s="131"/>
      <c r="AT304" s="131"/>
      <c r="AU304" s="4"/>
    </row>
    <row r="305" spans="1:47" s="14" customFormat="1" x14ac:dyDescent="0.25">
      <c r="A305" s="53"/>
      <c r="B305" s="13" t="s">
        <v>21</v>
      </c>
      <c r="C305" s="89"/>
      <c r="D305" s="89" t="s">
        <v>1251</v>
      </c>
      <c r="E305" s="89" t="s">
        <v>1252</v>
      </c>
      <c r="F305" s="71" t="s">
        <v>1253</v>
      </c>
      <c r="G305" s="6" t="s">
        <v>558</v>
      </c>
      <c r="H305" s="33">
        <v>421308</v>
      </c>
      <c r="I305" s="35">
        <v>106</v>
      </c>
      <c r="J305" s="35" t="str">
        <f t="shared" si="182"/>
        <v>81-110</v>
      </c>
      <c r="K305" s="36">
        <f t="shared" si="180"/>
        <v>8747.8561594387575</v>
      </c>
      <c r="L305" s="35">
        <v>18</v>
      </c>
      <c r="M305" s="35" t="str">
        <f t="shared" si="181"/>
        <v>0-20</v>
      </c>
      <c r="N305" s="36">
        <f t="shared" si="187"/>
        <v>3844.3574443810608</v>
      </c>
      <c r="O305" s="51">
        <v>48</v>
      </c>
      <c r="P305" s="51" t="str">
        <f t="shared" si="153"/>
        <v>31-50</v>
      </c>
      <c r="Q305" s="51">
        <f t="shared" si="149"/>
        <v>5073.1976040297868</v>
      </c>
      <c r="R305" s="49">
        <v>36</v>
      </c>
      <c r="S305" s="49" t="str">
        <f t="shared" si="150"/>
        <v>31-50</v>
      </c>
      <c r="T305" s="49">
        <f t="shared" si="151"/>
        <v>5073.1976040297868</v>
      </c>
      <c r="U305" s="50">
        <v>34</v>
      </c>
      <c r="V305" s="50" t="str">
        <f t="shared" si="154"/>
        <v>31-50</v>
      </c>
      <c r="W305" s="50">
        <f t="shared" si="152"/>
        <v>5073.1976040297868</v>
      </c>
      <c r="X305" s="143" t="s">
        <v>1458</v>
      </c>
      <c r="Y305" s="143" t="e">
        <f t="shared" si="155"/>
        <v>#N/A</v>
      </c>
      <c r="Z305" s="143" t="e">
        <f t="shared" si="156"/>
        <v>#N/A</v>
      </c>
      <c r="AA305" s="116"/>
      <c r="AB305" s="114" t="str">
        <f t="shared" si="157"/>
        <v>0-20</v>
      </c>
      <c r="AC305" s="114">
        <f t="shared" si="158"/>
        <v>3844.3574443810608</v>
      </c>
      <c r="AD305" s="129">
        <v>5</v>
      </c>
      <c r="AE305" s="129" t="str">
        <f t="shared" si="166"/>
        <v>0-20</v>
      </c>
      <c r="AF305" s="129">
        <f t="shared" si="167"/>
        <v>3844.3574443810608</v>
      </c>
      <c r="AG305" s="138">
        <v>78</v>
      </c>
      <c r="AH305" s="138" t="str">
        <f t="shared" si="174"/>
        <v>51-80</v>
      </c>
      <c r="AI305" s="138">
        <f t="shared" si="175"/>
        <v>6509</v>
      </c>
      <c r="AJ305" s="36"/>
      <c r="AK305" s="36"/>
      <c r="AL305" s="37"/>
      <c r="AM305" s="79"/>
      <c r="AN305" s="79"/>
      <c r="AO305" s="79"/>
      <c r="AP305" s="133"/>
      <c r="AQ305" s="133" t="str">
        <f t="shared" si="164"/>
        <v>0-20</v>
      </c>
      <c r="AR305" s="133">
        <f t="shared" si="165"/>
        <v>3844.3574443810608</v>
      </c>
      <c r="AS305" s="131"/>
      <c r="AT305" s="131"/>
      <c r="AU305" s="4"/>
    </row>
    <row r="306" spans="1:47" s="14" customFormat="1" x14ac:dyDescent="0.25">
      <c r="A306" s="53"/>
      <c r="B306" s="13" t="s">
        <v>21</v>
      </c>
      <c r="C306" s="89"/>
      <c r="D306" s="89" t="s">
        <v>1262</v>
      </c>
      <c r="E306" s="89" t="s">
        <v>1263</v>
      </c>
      <c r="F306" s="71" t="s">
        <v>1264</v>
      </c>
      <c r="G306" s="6" t="s">
        <v>794</v>
      </c>
      <c r="H306" s="33">
        <v>400615</v>
      </c>
      <c r="I306" s="35">
        <v>103</v>
      </c>
      <c r="J306" s="35" t="str">
        <f t="shared" si="182"/>
        <v>81-110</v>
      </c>
      <c r="K306" s="36">
        <f t="shared" si="180"/>
        <v>8747.8561594387575</v>
      </c>
      <c r="L306" s="35">
        <v>9</v>
      </c>
      <c r="M306" s="35" t="str">
        <f t="shared" si="181"/>
        <v>0-20</v>
      </c>
      <c r="N306" s="36">
        <f t="shared" si="187"/>
        <v>3844.3574443810608</v>
      </c>
      <c r="O306" s="51">
        <v>31</v>
      </c>
      <c r="P306" s="51" t="str">
        <f t="shared" si="153"/>
        <v>31-50</v>
      </c>
      <c r="Q306" s="51">
        <f t="shared" si="149"/>
        <v>5073.1976040297868</v>
      </c>
      <c r="R306" s="49">
        <v>27</v>
      </c>
      <c r="S306" s="49" t="str">
        <f t="shared" si="150"/>
        <v>21-30</v>
      </c>
      <c r="T306" s="49">
        <f t="shared" si="151"/>
        <v>4508.6394748902885</v>
      </c>
      <c r="U306" s="50">
        <v>25</v>
      </c>
      <c r="V306" s="50" t="str">
        <f t="shared" si="154"/>
        <v>21-30</v>
      </c>
      <c r="W306" s="50">
        <f t="shared" si="152"/>
        <v>4508.6394748902885</v>
      </c>
      <c r="X306" s="143" t="s">
        <v>1458</v>
      </c>
      <c r="Y306" s="143" t="e">
        <f t="shared" si="155"/>
        <v>#N/A</v>
      </c>
      <c r="Z306" s="143" t="e">
        <f t="shared" si="156"/>
        <v>#N/A</v>
      </c>
      <c r="AA306" s="116">
        <v>27</v>
      </c>
      <c r="AB306" s="114" t="str">
        <f t="shared" si="157"/>
        <v>21-30</v>
      </c>
      <c r="AC306" s="114">
        <f t="shared" si="158"/>
        <v>4508.6394748902885</v>
      </c>
      <c r="AD306" s="129"/>
      <c r="AE306" s="129" t="str">
        <f t="shared" si="166"/>
        <v>0-20</v>
      </c>
      <c r="AF306" s="129">
        <f t="shared" si="167"/>
        <v>3844.3574443810608</v>
      </c>
      <c r="AG306" s="138">
        <v>74</v>
      </c>
      <c r="AH306" s="138" t="str">
        <f t="shared" si="174"/>
        <v>51-80</v>
      </c>
      <c r="AI306" s="138">
        <f t="shared" si="175"/>
        <v>6509</v>
      </c>
      <c r="AJ306" s="36"/>
      <c r="AK306" s="36"/>
      <c r="AL306" s="37"/>
      <c r="AM306" s="79"/>
      <c r="AN306" s="79"/>
      <c r="AO306" s="79"/>
      <c r="AP306" s="133"/>
      <c r="AQ306" s="133" t="str">
        <f t="shared" si="164"/>
        <v>0-20</v>
      </c>
      <c r="AR306" s="133">
        <f t="shared" si="165"/>
        <v>3844.3574443810608</v>
      </c>
      <c r="AS306" s="131"/>
      <c r="AT306" s="131"/>
      <c r="AU306" s="4"/>
    </row>
    <row r="307" spans="1:47" s="14" customFormat="1" x14ac:dyDescent="0.25">
      <c r="A307" s="53"/>
      <c r="B307" s="13" t="s">
        <v>21</v>
      </c>
      <c r="C307" s="89"/>
      <c r="D307" s="89" t="s">
        <v>1266</v>
      </c>
      <c r="E307" s="89" t="s">
        <v>1265</v>
      </c>
      <c r="F307" s="71" t="s">
        <v>1267</v>
      </c>
      <c r="G307" s="6" t="s">
        <v>794</v>
      </c>
      <c r="H307" s="33">
        <v>400602</v>
      </c>
      <c r="I307" s="35">
        <v>96</v>
      </c>
      <c r="J307" s="35" t="str">
        <f t="shared" si="182"/>
        <v>81-110</v>
      </c>
      <c r="K307" s="36">
        <f t="shared" si="180"/>
        <v>8747.8561594387575</v>
      </c>
      <c r="L307" s="35">
        <v>7</v>
      </c>
      <c r="M307" s="35" t="str">
        <f t="shared" si="181"/>
        <v>0-20</v>
      </c>
      <c r="N307" s="36">
        <f t="shared" si="187"/>
        <v>3844.3574443810608</v>
      </c>
      <c r="O307" s="51">
        <v>39</v>
      </c>
      <c r="P307" s="51" t="str">
        <f t="shared" si="153"/>
        <v>31-50</v>
      </c>
      <c r="Q307" s="51">
        <f t="shared" si="149"/>
        <v>5073.1976040297868</v>
      </c>
      <c r="R307" s="49">
        <v>25</v>
      </c>
      <c r="S307" s="49" t="str">
        <f t="shared" si="150"/>
        <v>21-30</v>
      </c>
      <c r="T307" s="49">
        <f t="shared" si="151"/>
        <v>4508.6394748902885</v>
      </c>
      <c r="U307" s="50">
        <v>25</v>
      </c>
      <c r="V307" s="50" t="str">
        <f t="shared" si="154"/>
        <v>21-30</v>
      </c>
      <c r="W307" s="50">
        <f t="shared" si="152"/>
        <v>4508.6394748902885</v>
      </c>
      <c r="X307" s="143" t="s">
        <v>1458</v>
      </c>
      <c r="Y307" s="143" t="e">
        <f t="shared" si="155"/>
        <v>#N/A</v>
      </c>
      <c r="Z307" s="143" t="e">
        <f t="shared" si="156"/>
        <v>#N/A</v>
      </c>
      <c r="AA307" s="116">
        <v>27</v>
      </c>
      <c r="AB307" s="114" t="str">
        <f t="shared" si="157"/>
        <v>21-30</v>
      </c>
      <c r="AC307" s="114">
        <f t="shared" si="158"/>
        <v>4508.6394748902885</v>
      </c>
      <c r="AD307" s="129"/>
      <c r="AE307" s="129" t="str">
        <f t="shared" si="166"/>
        <v>0-20</v>
      </c>
      <c r="AF307" s="129">
        <f t="shared" si="167"/>
        <v>3844.3574443810608</v>
      </c>
      <c r="AG307" s="138">
        <v>91</v>
      </c>
      <c r="AH307" s="138" t="str">
        <f t="shared" si="174"/>
        <v>81-110</v>
      </c>
      <c r="AI307" s="138">
        <f t="shared" si="175"/>
        <v>8747.8561594387575</v>
      </c>
      <c r="AJ307" s="36"/>
      <c r="AK307" s="36"/>
      <c r="AL307" s="37"/>
      <c r="AM307" s="79"/>
      <c r="AN307" s="79"/>
      <c r="AO307" s="79"/>
      <c r="AP307" s="133"/>
      <c r="AQ307" s="133" t="str">
        <f t="shared" si="164"/>
        <v>0-20</v>
      </c>
      <c r="AR307" s="133">
        <f t="shared" si="165"/>
        <v>3844.3574443810608</v>
      </c>
      <c r="AS307" s="131"/>
      <c r="AT307" s="131"/>
      <c r="AU307" s="4"/>
    </row>
    <row r="308" spans="1:47" s="14" customFormat="1" x14ac:dyDescent="0.25">
      <c r="A308" s="53"/>
      <c r="B308" s="13" t="s">
        <v>21</v>
      </c>
      <c r="C308" s="89"/>
      <c r="D308" s="89" t="s">
        <v>1285</v>
      </c>
      <c r="E308" s="89" t="s">
        <v>832</v>
      </c>
      <c r="F308" s="71" t="s">
        <v>1287</v>
      </c>
      <c r="G308" s="6" t="s">
        <v>1286</v>
      </c>
      <c r="H308" s="33">
        <v>400702</v>
      </c>
      <c r="I308" s="35">
        <v>91</v>
      </c>
      <c r="J308" s="35" t="str">
        <f t="shared" si="182"/>
        <v>81-110</v>
      </c>
      <c r="K308" s="36">
        <f t="shared" si="180"/>
        <v>8747.8561594387575</v>
      </c>
      <c r="L308" s="35">
        <v>70</v>
      </c>
      <c r="M308" s="35" t="str">
        <f t="shared" si="181"/>
        <v>51-80</v>
      </c>
      <c r="N308" s="36">
        <f t="shared" si="187"/>
        <v>6509</v>
      </c>
      <c r="O308" s="51">
        <v>97</v>
      </c>
      <c r="P308" s="51" t="str">
        <f t="shared" si="153"/>
        <v>81-110</v>
      </c>
      <c r="Q308" s="51">
        <f t="shared" si="149"/>
        <v>8747.8561594387575</v>
      </c>
      <c r="R308" s="49">
        <v>55</v>
      </c>
      <c r="S308" s="49" t="str">
        <f t="shared" si="150"/>
        <v>51-80</v>
      </c>
      <c r="T308" s="49">
        <f t="shared" si="151"/>
        <v>6509</v>
      </c>
      <c r="U308" s="50">
        <v>58</v>
      </c>
      <c r="V308" s="50" t="str">
        <f t="shared" si="154"/>
        <v>51-80</v>
      </c>
      <c r="W308" s="50">
        <f t="shared" si="152"/>
        <v>6509</v>
      </c>
      <c r="X308" s="143" t="s">
        <v>1458</v>
      </c>
      <c r="Y308" s="143" t="e">
        <f t="shared" si="155"/>
        <v>#N/A</v>
      </c>
      <c r="Z308" s="143" t="e">
        <f t="shared" si="156"/>
        <v>#N/A</v>
      </c>
      <c r="AA308" s="116">
        <v>65</v>
      </c>
      <c r="AB308" s="114" t="str">
        <f t="shared" si="157"/>
        <v>51-80</v>
      </c>
      <c r="AC308" s="114">
        <f t="shared" si="158"/>
        <v>6509</v>
      </c>
      <c r="AD308" s="129">
        <v>52</v>
      </c>
      <c r="AE308" s="129" t="str">
        <f t="shared" si="166"/>
        <v>51-80</v>
      </c>
      <c r="AF308" s="129">
        <f t="shared" si="167"/>
        <v>6509</v>
      </c>
      <c r="AG308" s="138">
        <v>130</v>
      </c>
      <c r="AH308" s="138" t="str">
        <f t="shared" si="174"/>
        <v>110-130</v>
      </c>
      <c r="AI308" s="138">
        <f t="shared" si="175"/>
        <v>10159.810450732197</v>
      </c>
      <c r="AJ308" s="36"/>
      <c r="AK308" s="36"/>
      <c r="AL308" s="37"/>
      <c r="AM308" s="79"/>
      <c r="AN308" s="79"/>
      <c r="AO308" s="79"/>
      <c r="AP308" s="133"/>
      <c r="AQ308" s="133" t="str">
        <f t="shared" si="164"/>
        <v>0-20</v>
      </c>
      <c r="AR308" s="133">
        <f t="shared" si="165"/>
        <v>3844.3574443810608</v>
      </c>
      <c r="AS308" s="131"/>
      <c r="AT308" s="131"/>
      <c r="AU308" s="4"/>
    </row>
    <row r="309" spans="1:47" s="14" customFormat="1" x14ac:dyDescent="0.25">
      <c r="A309" s="53"/>
      <c r="B309" s="13" t="s">
        <v>21</v>
      </c>
      <c r="C309" s="89"/>
      <c r="D309" s="89" t="s">
        <v>1289</v>
      </c>
      <c r="E309" s="89" t="s">
        <v>1290</v>
      </c>
      <c r="F309" s="71" t="s">
        <v>1291</v>
      </c>
      <c r="G309" s="6" t="s">
        <v>1292</v>
      </c>
      <c r="H309" s="33">
        <v>400615</v>
      </c>
      <c r="I309" s="35">
        <v>103</v>
      </c>
      <c r="J309" s="35" t="str">
        <f t="shared" si="182"/>
        <v>81-110</v>
      </c>
      <c r="K309" s="36">
        <f t="shared" si="180"/>
        <v>8747.8561594387575</v>
      </c>
      <c r="L309" s="35">
        <v>13</v>
      </c>
      <c r="M309" s="35" t="str">
        <f t="shared" si="181"/>
        <v>0-20</v>
      </c>
      <c r="N309" s="36">
        <f t="shared" si="187"/>
        <v>3844.3574443810608</v>
      </c>
      <c r="O309" s="51">
        <v>31</v>
      </c>
      <c r="P309" s="51" t="str">
        <f t="shared" si="153"/>
        <v>31-50</v>
      </c>
      <c r="Q309" s="51">
        <f t="shared" si="149"/>
        <v>5073.1976040297868</v>
      </c>
      <c r="R309" s="49">
        <v>27</v>
      </c>
      <c r="S309" s="49" t="str">
        <f t="shared" si="150"/>
        <v>21-30</v>
      </c>
      <c r="T309" s="49">
        <f t="shared" si="151"/>
        <v>4508.6394748902885</v>
      </c>
      <c r="U309" s="50">
        <v>25</v>
      </c>
      <c r="V309" s="50" t="str">
        <f t="shared" si="154"/>
        <v>21-30</v>
      </c>
      <c r="W309" s="50">
        <f t="shared" si="152"/>
        <v>4508.6394748902885</v>
      </c>
      <c r="X309" s="143" t="s">
        <v>1458</v>
      </c>
      <c r="Y309" s="143" t="e">
        <f t="shared" si="155"/>
        <v>#N/A</v>
      </c>
      <c r="Z309" s="143" t="e">
        <f t="shared" si="156"/>
        <v>#N/A</v>
      </c>
      <c r="AA309" s="116">
        <v>27</v>
      </c>
      <c r="AB309" s="114" t="str">
        <f t="shared" ref="AB309:AB312" si="188">VLOOKUP(AA309,$AV$4:$AW$9,2,1)</f>
        <v>21-30</v>
      </c>
      <c r="AC309" s="114">
        <f t="shared" ref="AC309:AC312" si="189">VLOOKUP(AB309,$AW$3:$AX$9,2,0)</f>
        <v>4508.6394748902885</v>
      </c>
      <c r="AD309" s="131"/>
      <c r="AE309" s="129" t="str">
        <f t="shared" si="166"/>
        <v>0-20</v>
      </c>
      <c r="AF309" s="129">
        <f t="shared" si="167"/>
        <v>3844.3574443810608</v>
      </c>
      <c r="AG309" s="138">
        <v>74</v>
      </c>
      <c r="AH309" s="138" t="str">
        <f t="shared" si="174"/>
        <v>51-80</v>
      </c>
      <c r="AI309" s="138">
        <f t="shared" si="175"/>
        <v>6509</v>
      </c>
      <c r="AJ309" s="36"/>
      <c r="AK309" s="36"/>
      <c r="AL309" s="37"/>
      <c r="AM309" s="79"/>
      <c r="AN309" s="79"/>
      <c r="AO309" s="79"/>
      <c r="AP309" s="136"/>
      <c r="AQ309" s="136"/>
      <c r="AR309" s="136"/>
      <c r="AS309" s="131"/>
      <c r="AT309" s="131"/>
      <c r="AU309" s="4"/>
    </row>
    <row r="310" spans="1:47" s="14" customFormat="1" x14ac:dyDescent="0.25">
      <c r="A310" s="53"/>
      <c r="B310" s="13" t="s">
        <v>21</v>
      </c>
      <c r="C310" s="89"/>
      <c r="D310" s="89" t="s">
        <v>1293</v>
      </c>
      <c r="E310" s="89" t="s">
        <v>1294</v>
      </c>
      <c r="F310" s="71" t="s">
        <v>1295</v>
      </c>
      <c r="G310" s="6" t="s">
        <v>1296</v>
      </c>
      <c r="H310" s="33">
        <v>401105</v>
      </c>
      <c r="I310" s="90">
        <v>132</v>
      </c>
      <c r="J310" s="90" t="str">
        <f t="shared" si="182"/>
        <v>110-130</v>
      </c>
      <c r="K310" s="91">
        <f t="shared" si="180"/>
        <v>10159.810450732197</v>
      </c>
      <c r="L310" s="35">
        <v>29</v>
      </c>
      <c r="M310" s="35" t="str">
        <f t="shared" si="181"/>
        <v>21-30</v>
      </c>
      <c r="N310" s="36">
        <f t="shared" si="187"/>
        <v>4508.6394748902885</v>
      </c>
      <c r="O310" s="51">
        <v>32</v>
      </c>
      <c r="P310" s="51" t="str">
        <f t="shared" si="153"/>
        <v>31-50</v>
      </c>
      <c r="Q310" s="51">
        <f t="shared" si="149"/>
        <v>5073.1976040297868</v>
      </c>
      <c r="R310" s="49">
        <v>24</v>
      </c>
      <c r="S310" s="49" t="str">
        <f t="shared" si="150"/>
        <v>21-30</v>
      </c>
      <c r="T310" s="49">
        <f t="shared" si="151"/>
        <v>4508.6394748902885</v>
      </c>
      <c r="U310" s="50">
        <v>34</v>
      </c>
      <c r="V310" s="50" t="str">
        <f t="shared" si="154"/>
        <v>31-50</v>
      </c>
      <c r="W310" s="50">
        <f t="shared" si="152"/>
        <v>5073.1976040297868</v>
      </c>
      <c r="X310" s="143">
        <v>49</v>
      </c>
      <c r="Y310" s="143" t="str">
        <f t="shared" si="155"/>
        <v>31-50</v>
      </c>
      <c r="Z310" s="143">
        <f t="shared" si="156"/>
        <v>5073.1976040297868</v>
      </c>
      <c r="AA310" s="116">
        <v>20</v>
      </c>
      <c r="AB310" s="114" t="str">
        <f t="shared" si="188"/>
        <v>0-20</v>
      </c>
      <c r="AC310" s="114">
        <f t="shared" si="189"/>
        <v>3844.3574443810608</v>
      </c>
      <c r="AD310" s="129"/>
      <c r="AE310" s="129" t="str">
        <f t="shared" si="166"/>
        <v>0-20</v>
      </c>
      <c r="AF310" s="129">
        <f t="shared" si="167"/>
        <v>3844.3574443810608</v>
      </c>
      <c r="AG310" s="138">
        <v>76</v>
      </c>
      <c r="AH310" s="138" t="str">
        <f t="shared" si="174"/>
        <v>51-80</v>
      </c>
      <c r="AI310" s="138">
        <f t="shared" si="175"/>
        <v>6509</v>
      </c>
      <c r="AJ310" s="36"/>
      <c r="AK310" s="36"/>
      <c r="AL310" s="37"/>
      <c r="AM310" s="79"/>
      <c r="AN310" s="79"/>
      <c r="AO310" s="79"/>
      <c r="AP310" s="136"/>
      <c r="AQ310" s="136"/>
      <c r="AR310" s="136"/>
      <c r="AS310" s="131"/>
      <c r="AT310" s="131"/>
      <c r="AU310" s="4"/>
    </row>
    <row r="311" spans="1:47" s="14" customFormat="1" x14ac:dyDescent="0.25">
      <c r="A311" s="53"/>
      <c r="B311" s="13" t="s">
        <v>21</v>
      </c>
      <c r="C311" s="89"/>
      <c r="D311" s="89" t="s">
        <v>1297</v>
      </c>
      <c r="E311" s="89" t="s">
        <v>1298</v>
      </c>
      <c r="F311" s="71" t="s">
        <v>1299</v>
      </c>
      <c r="G311" s="6" t="s">
        <v>1300</v>
      </c>
      <c r="H311" s="33">
        <v>410206</v>
      </c>
      <c r="I311" s="90">
        <v>78</v>
      </c>
      <c r="J311" s="90" t="str">
        <f t="shared" si="182"/>
        <v>51-80</v>
      </c>
      <c r="K311" s="91">
        <f t="shared" si="180"/>
        <v>6509</v>
      </c>
      <c r="L311" s="35">
        <v>48</v>
      </c>
      <c r="M311" s="35" t="str">
        <f t="shared" si="181"/>
        <v>31-50</v>
      </c>
      <c r="N311" s="36">
        <f t="shared" si="187"/>
        <v>5073.1976040297868</v>
      </c>
      <c r="O311" s="51">
        <v>73</v>
      </c>
      <c r="P311" s="51" t="str">
        <f t="shared" si="153"/>
        <v>51-80</v>
      </c>
      <c r="Q311" s="51">
        <f t="shared" si="149"/>
        <v>6509</v>
      </c>
      <c r="R311" s="49">
        <v>48</v>
      </c>
      <c r="S311" s="49" t="str">
        <f t="shared" si="150"/>
        <v>31-50</v>
      </c>
      <c r="T311" s="49">
        <f t="shared" si="151"/>
        <v>5073.1976040297868</v>
      </c>
      <c r="U311" s="50">
        <v>46</v>
      </c>
      <c r="V311" s="50" t="str">
        <f t="shared" si="154"/>
        <v>31-50</v>
      </c>
      <c r="W311" s="50">
        <f t="shared" si="152"/>
        <v>5073.1976040297868</v>
      </c>
      <c r="X311" s="143">
        <v>55</v>
      </c>
      <c r="Y311" s="143" t="str">
        <f t="shared" si="155"/>
        <v>51-80</v>
      </c>
      <c r="Z311" s="143">
        <f t="shared" si="156"/>
        <v>6509</v>
      </c>
      <c r="AA311" s="116"/>
      <c r="AB311" s="114" t="str">
        <f t="shared" si="188"/>
        <v>0-20</v>
      </c>
      <c r="AC311" s="114">
        <f t="shared" si="189"/>
        <v>3844.3574443810608</v>
      </c>
      <c r="AD311" s="131"/>
      <c r="AE311" s="129" t="str">
        <f t="shared" si="166"/>
        <v>0-20</v>
      </c>
      <c r="AF311" s="129">
        <f t="shared" si="167"/>
        <v>3844.3574443810608</v>
      </c>
      <c r="AG311" s="139">
        <v>106</v>
      </c>
      <c r="AH311" s="138" t="str">
        <f t="shared" si="174"/>
        <v>81-110</v>
      </c>
      <c r="AI311" s="138">
        <f t="shared" si="175"/>
        <v>8747.8561594387575</v>
      </c>
      <c r="AJ311" s="36"/>
      <c r="AK311" s="36"/>
      <c r="AL311" s="37"/>
      <c r="AM311" s="79"/>
      <c r="AN311" s="79"/>
      <c r="AO311" s="79"/>
      <c r="AP311" s="136"/>
      <c r="AQ311" s="136"/>
      <c r="AR311" s="136"/>
      <c r="AS311" s="131"/>
      <c r="AT311" s="131"/>
      <c r="AU311" s="4"/>
    </row>
    <row r="312" spans="1:47" s="14" customFormat="1" x14ac:dyDescent="0.25">
      <c r="A312" s="53"/>
      <c r="B312" s="13" t="s">
        <v>21</v>
      </c>
      <c r="C312" s="89"/>
      <c r="D312" s="89" t="s">
        <v>1301</v>
      </c>
      <c r="E312" s="89" t="s">
        <v>1302</v>
      </c>
      <c r="F312" s="71" t="s">
        <v>1304</v>
      </c>
      <c r="G312" s="6" t="s">
        <v>1303</v>
      </c>
      <c r="H312" s="33">
        <v>401101</v>
      </c>
      <c r="I312" s="90">
        <v>132</v>
      </c>
      <c r="J312" s="90" t="str">
        <f t="shared" si="182"/>
        <v>110-130</v>
      </c>
      <c r="K312" s="91">
        <f t="shared" si="180"/>
        <v>10159.810450732197</v>
      </c>
      <c r="L312" s="35">
        <v>27</v>
      </c>
      <c r="M312" s="35" t="str">
        <f t="shared" si="181"/>
        <v>21-30</v>
      </c>
      <c r="N312" s="36">
        <f t="shared" si="187"/>
        <v>4508.6394748902885</v>
      </c>
      <c r="O312" s="51">
        <v>32</v>
      </c>
      <c r="P312" s="51" t="str">
        <f t="shared" si="153"/>
        <v>31-50</v>
      </c>
      <c r="Q312" s="51">
        <f t="shared" si="149"/>
        <v>5073.1976040297868</v>
      </c>
      <c r="R312" s="49">
        <v>28</v>
      </c>
      <c r="S312" s="49" t="str">
        <f t="shared" si="150"/>
        <v>21-30</v>
      </c>
      <c r="T312" s="49">
        <f t="shared" si="151"/>
        <v>4508.6394748902885</v>
      </c>
      <c r="U312" s="50">
        <v>31</v>
      </c>
      <c r="V312" s="50" t="str">
        <f t="shared" si="154"/>
        <v>31-50</v>
      </c>
      <c r="W312" s="50">
        <f t="shared" si="152"/>
        <v>5073.1976040297868</v>
      </c>
      <c r="X312" s="143" t="s">
        <v>1458</v>
      </c>
      <c r="Y312" s="143" t="e">
        <f t="shared" si="155"/>
        <v>#N/A</v>
      </c>
      <c r="Z312" s="143" t="e">
        <f t="shared" si="156"/>
        <v>#N/A</v>
      </c>
      <c r="AA312" s="116"/>
      <c r="AB312" s="114" t="str">
        <f t="shared" si="188"/>
        <v>0-20</v>
      </c>
      <c r="AC312" s="114">
        <f t="shared" si="189"/>
        <v>3844.3574443810608</v>
      </c>
      <c r="AD312" s="131"/>
      <c r="AE312" s="129" t="str">
        <f t="shared" si="166"/>
        <v>0-20</v>
      </c>
      <c r="AF312" s="129">
        <f t="shared" si="167"/>
        <v>3844.3574443810608</v>
      </c>
      <c r="AG312" s="138">
        <v>78</v>
      </c>
      <c r="AH312" s="138" t="str">
        <f t="shared" si="174"/>
        <v>51-80</v>
      </c>
      <c r="AI312" s="138">
        <f t="shared" si="175"/>
        <v>6509</v>
      </c>
      <c r="AJ312" s="36"/>
      <c r="AK312" s="36"/>
      <c r="AL312" s="37"/>
      <c r="AM312" s="79"/>
      <c r="AN312" s="79"/>
      <c r="AO312" s="79"/>
      <c r="AP312" s="136"/>
      <c r="AQ312" s="136"/>
      <c r="AR312" s="136"/>
      <c r="AS312" s="131"/>
      <c r="AT312" s="131"/>
      <c r="AU312" s="4"/>
    </row>
    <row r="313" spans="1:47" s="14" customFormat="1" x14ac:dyDescent="0.25">
      <c r="A313" s="53"/>
      <c r="B313" s="13" t="s">
        <v>21</v>
      </c>
      <c r="C313" s="89"/>
      <c r="D313" s="89" t="s">
        <v>1326</v>
      </c>
      <c r="E313" s="89" t="s">
        <v>1327</v>
      </c>
      <c r="F313" s="71" t="s">
        <v>1322</v>
      </c>
      <c r="G313" s="6" t="s">
        <v>1325</v>
      </c>
      <c r="H313" s="33">
        <v>401209</v>
      </c>
      <c r="I313" s="90">
        <v>142</v>
      </c>
      <c r="J313" s="90" t="str">
        <f>VLOOKUP(I313,$AV$3:$AW$9,2,1)</f>
        <v>110-130</v>
      </c>
      <c r="K313" s="91">
        <f t="shared" ref="K313:K327" si="190">VLOOKUP(J313,$AW$3:$AX$9,2,0)</f>
        <v>10159.810450732197</v>
      </c>
      <c r="L313" s="35">
        <v>44</v>
      </c>
      <c r="M313" s="35" t="str">
        <f t="shared" ref="M313:M358" si="191">VLOOKUP(L313,$AV$4:$AW$9,2,1)</f>
        <v>31-50</v>
      </c>
      <c r="N313" s="36">
        <f t="shared" ref="N313:N358" si="192">VLOOKUP(M313,$AW$3:$AX$9,2,0)</f>
        <v>5073.1976040297868</v>
      </c>
      <c r="O313" s="51">
        <v>14</v>
      </c>
      <c r="P313" s="51" t="str">
        <f t="shared" ref="P313:P358" si="193">VLOOKUP(O313,$AV$3:$AW$9,2,1)</f>
        <v>0-20</v>
      </c>
      <c r="Q313" s="51">
        <f t="shared" ref="Q313:Q358" si="194">VLOOKUP(P313,$AW$3:$AX$9,2,0)</f>
        <v>3844.3574443810608</v>
      </c>
      <c r="R313" s="49">
        <v>46</v>
      </c>
      <c r="S313" s="49" t="str">
        <f t="shared" ref="S313:S358" si="195">VLOOKUP(R313,$AV$3:$AW$9,2,1)</f>
        <v>31-50</v>
      </c>
      <c r="T313" s="49">
        <f t="shared" ref="T313:T358" si="196">VLOOKUP(S313,$AW$3:$AX$9,2,0)</f>
        <v>5073.1976040297868</v>
      </c>
      <c r="U313" s="50">
        <v>59</v>
      </c>
      <c r="V313" s="50" t="str">
        <f t="shared" ref="V313:V358" si="197">VLOOKUP(U313,$AV$3:$AW$9,2,1)</f>
        <v>51-80</v>
      </c>
      <c r="W313" s="50">
        <f t="shared" ref="W313:W358" si="198">VLOOKUP(V313,$AW$3:$AX$9,2,0)</f>
        <v>6509</v>
      </c>
      <c r="X313" s="143" t="s">
        <v>1458</v>
      </c>
      <c r="Y313" s="143" t="e">
        <f t="shared" si="155"/>
        <v>#N/A</v>
      </c>
      <c r="Z313" s="143" t="e">
        <f t="shared" si="156"/>
        <v>#N/A</v>
      </c>
      <c r="AA313" s="116"/>
      <c r="AB313" s="114" t="str">
        <f t="shared" ref="AB313" si="199">VLOOKUP(AA313,$AV$4:$AW$9,2,1)</f>
        <v>0-20</v>
      </c>
      <c r="AC313" s="114">
        <f t="shared" ref="AC313" si="200">VLOOKUP(AB313,$AW$3:$AX$9,2,0)</f>
        <v>3844.3574443810608</v>
      </c>
      <c r="AD313" s="131"/>
      <c r="AE313" s="129" t="str">
        <f t="shared" si="166"/>
        <v>0-20</v>
      </c>
      <c r="AF313" s="129">
        <f t="shared" si="167"/>
        <v>3844.3574443810608</v>
      </c>
      <c r="AG313" s="139">
        <v>54</v>
      </c>
      <c r="AH313" s="138" t="str">
        <f t="shared" si="174"/>
        <v>51-80</v>
      </c>
      <c r="AI313" s="138">
        <f t="shared" si="175"/>
        <v>6509</v>
      </c>
      <c r="AJ313" s="36"/>
      <c r="AK313" s="36"/>
      <c r="AL313" s="37"/>
      <c r="AM313" s="79"/>
      <c r="AN313" s="79"/>
      <c r="AO313" s="79"/>
      <c r="AP313" s="136"/>
      <c r="AQ313" s="136"/>
      <c r="AR313" s="136"/>
      <c r="AS313" s="131"/>
      <c r="AT313" s="131"/>
      <c r="AU313" s="4"/>
    </row>
    <row r="314" spans="1:47" s="14" customFormat="1" x14ac:dyDescent="0.25">
      <c r="A314" s="53"/>
      <c r="B314" s="13" t="s">
        <v>21</v>
      </c>
      <c r="C314" s="89"/>
      <c r="D314" s="89" t="s">
        <v>1328</v>
      </c>
      <c r="E314" s="89" t="s">
        <v>1403</v>
      </c>
      <c r="F314" s="71" t="s">
        <v>1329</v>
      </c>
      <c r="G314" s="6" t="s">
        <v>558</v>
      </c>
      <c r="H314" s="33">
        <v>421302</v>
      </c>
      <c r="I314" s="90">
        <v>110</v>
      </c>
      <c r="J314" s="90" t="str">
        <f>VLOOKUP(I314,$AV$3:$AW$9,2,1)</f>
        <v>110-130</v>
      </c>
      <c r="K314" s="91">
        <f t="shared" si="190"/>
        <v>10159.810450732197</v>
      </c>
      <c r="L314" s="35">
        <v>29</v>
      </c>
      <c r="M314" s="35" t="str">
        <f t="shared" si="191"/>
        <v>21-30</v>
      </c>
      <c r="N314" s="36">
        <f t="shared" si="192"/>
        <v>4508.6394748902885</v>
      </c>
      <c r="O314" s="51">
        <v>32</v>
      </c>
      <c r="P314" s="51" t="str">
        <f t="shared" si="193"/>
        <v>31-50</v>
      </c>
      <c r="Q314" s="51">
        <f t="shared" si="194"/>
        <v>5073.1976040297868</v>
      </c>
      <c r="R314" s="49">
        <v>47</v>
      </c>
      <c r="S314" s="49" t="str">
        <f t="shared" si="195"/>
        <v>31-50</v>
      </c>
      <c r="T314" s="49">
        <f t="shared" si="196"/>
        <v>5073.1976040297868</v>
      </c>
      <c r="U314" s="50">
        <v>45</v>
      </c>
      <c r="V314" s="50" t="str">
        <f t="shared" si="197"/>
        <v>31-50</v>
      </c>
      <c r="W314" s="50">
        <f t="shared" si="198"/>
        <v>5073.1976040297868</v>
      </c>
      <c r="X314" s="143">
        <v>4</v>
      </c>
      <c r="Y314" s="143" t="str">
        <f t="shared" si="155"/>
        <v>0-20</v>
      </c>
      <c r="Z314" s="143">
        <f t="shared" si="156"/>
        <v>3844.3574443810608</v>
      </c>
      <c r="AA314" s="134"/>
      <c r="AB314" s="135"/>
      <c r="AC314" s="135"/>
      <c r="AD314" s="131">
        <v>7</v>
      </c>
      <c r="AE314" s="129" t="str">
        <f t="shared" si="166"/>
        <v>0-20</v>
      </c>
      <c r="AF314" s="129">
        <f t="shared" si="167"/>
        <v>3844.3574443810608</v>
      </c>
      <c r="AG314" s="138">
        <v>75</v>
      </c>
      <c r="AH314" s="138" t="str">
        <f t="shared" si="174"/>
        <v>51-80</v>
      </c>
      <c r="AI314" s="138">
        <f t="shared" si="175"/>
        <v>6509</v>
      </c>
      <c r="AJ314" s="36"/>
      <c r="AK314" s="36"/>
      <c r="AL314" s="37"/>
      <c r="AM314" s="79"/>
      <c r="AN314" s="79"/>
      <c r="AO314" s="79"/>
      <c r="AP314" s="136"/>
      <c r="AQ314" s="136"/>
      <c r="AR314" s="136"/>
      <c r="AS314" s="131"/>
      <c r="AT314" s="131"/>
      <c r="AU314" s="4"/>
    </row>
    <row r="315" spans="1:47" s="14" customFormat="1" x14ac:dyDescent="0.25">
      <c r="A315" s="53"/>
      <c r="B315" s="13" t="s">
        <v>21</v>
      </c>
      <c r="C315" s="89"/>
      <c r="D315" s="89" t="s">
        <v>1330</v>
      </c>
      <c r="E315" s="89" t="s">
        <v>1331</v>
      </c>
      <c r="F315" s="71" t="s">
        <v>1461</v>
      </c>
      <c r="G315" s="6" t="s">
        <v>1332</v>
      </c>
      <c r="H315" s="33">
        <v>421204</v>
      </c>
      <c r="I315" s="90">
        <v>97</v>
      </c>
      <c r="J315" s="90" t="str">
        <f t="shared" ref="J315:J327" si="201">VLOOKUP(I315,$AV$4:$AW$9,2,1)</f>
        <v>81-110</v>
      </c>
      <c r="K315" s="91">
        <f t="shared" si="190"/>
        <v>8747.8561594387575</v>
      </c>
      <c r="L315" s="35">
        <v>26</v>
      </c>
      <c r="M315" s="35" t="str">
        <f t="shared" si="191"/>
        <v>21-30</v>
      </c>
      <c r="N315" s="36">
        <f t="shared" si="192"/>
        <v>4508.6394748902885</v>
      </c>
      <c r="O315" s="51">
        <v>50</v>
      </c>
      <c r="P315" s="51" t="str">
        <f t="shared" si="193"/>
        <v>31-50</v>
      </c>
      <c r="Q315" s="51">
        <f t="shared" si="194"/>
        <v>5073.1976040297868</v>
      </c>
      <c r="R315" s="49">
        <v>42</v>
      </c>
      <c r="S315" s="49" t="str">
        <f t="shared" si="195"/>
        <v>31-50</v>
      </c>
      <c r="T315" s="49">
        <f t="shared" si="196"/>
        <v>5073.1976040297868</v>
      </c>
      <c r="U315" s="50">
        <v>39</v>
      </c>
      <c r="V315" s="50" t="str">
        <f t="shared" si="197"/>
        <v>31-50</v>
      </c>
      <c r="W315" s="50">
        <f t="shared" si="198"/>
        <v>5073.1976040297868</v>
      </c>
      <c r="X315" s="143">
        <v>27</v>
      </c>
      <c r="Y315" s="143" t="str">
        <f t="shared" si="155"/>
        <v>21-30</v>
      </c>
      <c r="Z315" s="143">
        <f t="shared" si="156"/>
        <v>4508.6394748902885</v>
      </c>
      <c r="AA315" s="116"/>
      <c r="AB315" s="114" t="str">
        <f t="shared" ref="AB315" si="202">VLOOKUP(AA315,$AV$4:$AW$9,2,1)</f>
        <v>0-20</v>
      </c>
      <c r="AC315" s="114">
        <f t="shared" ref="AC315" si="203">VLOOKUP(AB315,$AW$3:$AX$9,2,0)</f>
        <v>3844.3574443810608</v>
      </c>
      <c r="AD315" s="131"/>
      <c r="AE315" s="129" t="str">
        <f t="shared" si="166"/>
        <v>0-20</v>
      </c>
      <c r="AF315" s="129">
        <f t="shared" si="167"/>
        <v>3844.3574443810608</v>
      </c>
      <c r="AG315" s="138">
        <v>80</v>
      </c>
      <c r="AH315" s="138" t="str">
        <f t="shared" ref="AH315" si="204">VLOOKUP(AG315,$AV$4:$AW$9,2,1)</f>
        <v>51-80</v>
      </c>
      <c r="AI315" s="138">
        <f t="shared" ref="AI315" si="205">VLOOKUP(AH315,$AW$3:$AX$9,2,0)</f>
        <v>6509</v>
      </c>
      <c r="AJ315" s="36"/>
      <c r="AK315" s="36"/>
      <c r="AL315" s="37"/>
      <c r="AM315" s="79"/>
      <c r="AN315" s="79"/>
      <c r="AO315" s="79"/>
      <c r="AP315" s="136"/>
      <c r="AQ315" s="136"/>
      <c r="AR315" s="136"/>
      <c r="AS315" s="131"/>
      <c r="AT315" s="131"/>
      <c r="AU315" s="4"/>
    </row>
    <row r="316" spans="1:47" s="14" customFormat="1" x14ac:dyDescent="0.25">
      <c r="A316" s="53"/>
      <c r="B316" s="13" t="s">
        <v>21</v>
      </c>
      <c r="C316" s="89"/>
      <c r="D316" s="89" t="s">
        <v>1333</v>
      </c>
      <c r="E316" s="89" t="s">
        <v>1334</v>
      </c>
      <c r="F316" s="71" t="s">
        <v>1336</v>
      </c>
      <c r="G316" s="6" t="s">
        <v>1335</v>
      </c>
      <c r="H316" s="33">
        <v>410206</v>
      </c>
      <c r="I316" s="90">
        <v>76</v>
      </c>
      <c r="J316" s="90" t="str">
        <f t="shared" si="201"/>
        <v>51-80</v>
      </c>
      <c r="K316" s="91">
        <f t="shared" si="190"/>
        <v>6509</v>
      </c>
      <c r="L316" s="35">
        <v>34</v>
      </c>
      <c r="M316" s="35" t="str">
        <f t="shared" si="191"/>
        <v>31-50</v>
      </c>
      <c r="N316" s="36">
        <f t="shared" si="192"/>
        <v>5073.1976040297868</v>
      </c>
      <c r="O316" s="51">
        <v>67</v>
      </c>
      <c r="P316" s="51" t="str">
        <f t="shared" si="193"/>
        <v>51-80</v>
      </c>
      <c r="Q316" s="51">
        <f t="shared" si="194"/>
        <v>6509</v>
      </c>
      <c r="R316" s="49">
        <v>38</v>
      </c>
      <c r="S316" s="49" t="str">
        <f t="shared" si="195"/>
        <v>31-50</v>
      </c>
      <c r="T316" s="49">
        <f t="shared" si="196"/>
        <v>5073.1976040297868</v>
      </c>
      <c r="U316" s="50">
        <v>31</v>
      </c>
      <c r="V316" s="50" t="str">
        <f t="shared" si="197"/>
        <v>31-50</v>
      </c>
      <c r="W316" s="50">
        <f t="shared" si="198"/>
        <v>5073.1976040297868</v>
      </c>
      <c r="X316" s="143">
        <v>55</v>
      </c>
      <c r="Y316" s="143" t="str">
        <f t="shared" ref="Y316:Y388" si="206">VLOOKUP(X316,$AV$4:$AW$9,2,1)</f>
        <v>51-80</v>
      </c>
      <c r="Z316" s="143">
        <f t="shared" ref="Z316:Z388" si="207">VLOOKUP(Y316,$AW$3:$AX$9,2,0)</f>
        <v>6509</v>
      </c>
      <c r="AA316" s="134">
        <v>42</v>
      </c>
      <c r="AB316" s="114" t="str">
        <f t="shared" ref="AB316:AB317" si="208">VLOOKUP(AA316,$AV$4:$AW$9,2,1)</f>
        <v>31-50</v>
      </c>
      <c r="AC316" s="114">
        <f t="shared" ref="AC316:AC317" si="209">VLOOKUP(AB316,$AW$3:$AX$9,2,0)</f>
        <v>5073.1976040297868</v>
      </c>
      <c r="AD316" s="131">
        <v>45</v>
      </c>
      <c r="AE316" s="129" t="str">
        <f t="shared" si="166"/>
        <v>31-50</v>
      </c>
      <c r="AF316" s="129">
        <f t="shared" si="167"/>
        <v>5073.1976040297868</v>
      </c>
      <c r="AG316" s="139">
        <v>106</v>
      </c>
      <c r="AH316" s="138" t="str">
        <f t="shared" ref="AH316:AH317" si="210">VLOOKUP(AG316,$AV$4:$AW$9,2,1)</f>
        <v>81-110</v>
      </c>
      <c r="AI316" s="138">
        <f t="shared" ref="AI316:AI317" si="211">VLOOKUP(AH316,$AW$3:$AX$9,2,0)</f>
        <v>8747.8561594387575</v>
      </c>
      <c r="AJ316" s="36"/>
      <c r="AK316" s="36"/>
      <c r="AL316" s="37"/>
      <c r="AM316" s="79"/>
      <c r="AN316" s="79"/>
      <c r="AO316" s="79"/>
      <c r="AP316" s="136"/>
      <c r="AQ316" s="136"/>
      <c r="AR316" s="136"/>
      <c r="AS316" s="131"/>
      <c r="AT316" s="131"/>
      <c r="AU316" s="4"/>
    </row>
    <row r="317" spans="1:47" s="14" customFormat="1" x14ac:dyDescent="0.25">
      <c r="A317" s="53"/>
      <c r="B317" s="13" t="s">
        <v>21</v>
      </c>
      <c r="C317" s="89"/>
      <c r="D317" s="89" t="s">
        <v>1337</v>
      </c>
      <c r="E317" s="89" t="s">
        <v>1338</v>
      </c>
      <c r="F317" s="71" t="s">
        <v>1339</v>
      </c>
      <c r="G317" s="6" t="s">
        <v>1340</v>
      </c>
      <c r="H317" s="33">
        <v>401203</v>
      </c>
      <c r="I317" s="90">
        <v>151</v>
      </c>
      <c r="J317" s="90" t="str">
        <f t="shared" si="201"/>
        <v>110-130</v>
      </c>
      <c r="K317" s="91">
        <f t="shared" si="190"/>
        <v>10159.810450732197</v>
      </c>
      <c r="L317" s="35">
        <v>48</v>
      </c>
      <c r="M317" s="35" t="str">
        <f t="shared" si="191"/>
        <v>31-50</v>
      </c>
      <c r="N317" s="36">
        <f t="shared" si="192"/>
        <v>5073.1976040297868</v>
      </c>
      <c r="O317" s="51">
        <v>9</v>
      </c>
      <c r="P317" s="51" t="str">
        <f t="shared" si="193"/>
        <v>0-20</v>
      </c>
      <c r="Q317" s="51">
        <f t="shared" si="194"/>
        <v>3844.3574443810608</v>
      </c>
      <c r="R317" s="49">
        <v>50</v>
      </c>
      <c r="S317" s="49" t="str">
        <f t="shared" si="195"/>
        <v>31-50</v>
      </c>
      <c r="T317" s="49">
        <f t="shared" si="196"/>
        <v>5073.1976040297868</v>
      </c>
      <c r="U317" s="50">
        <v>58</v>
      </c>
      <c r="V317" s="50" t="str">
        <f t="shared" si="197"/>
        <v>51-80</v>
      </c>
      <c r="W317" s="50">
        <f t="shared" si="198"/>
        <v>6509</v>
      </c>
      <c r="X317" s="143" t="s">
        <v>1458</v>
      </c>
      <c r="Y317" s="143" t="e">
        <f t="shared" si="206"/>
        <v>#N/A</v>
      </c>
      <c r="Z317" s="143" t="e">
        <f t="shared" si="207"/>
        <v>#N/A</v>
      </c>
      <c r="AA317" s="116">
        <v>46</v>
      </c>
      <c r="AB317" s="114" t="str">
        <f t="shared" si="208"/>
        <v>31-50</v>
      </c>
      <c r="AC317" s="114">
        <f t="shared" si="209"/>
        <v>5073.1976040297868</v>
      </c>
      <c r="AD317" s="131">
        <v>46</v>
      </c>
      <c r="AE317" s="129" t="str">
        <f t="shared" si="166"/>
        <v>31-50</v>
      </c>
      <c r="AF317" s="129">
        <f t="shared" si="167"/>
        <v>5073.1976040297868</v>
      </c>
      <c r="AG317" s="138">
        <v>59</v>
      </c>
      <c r="AH317" s="138" t="str">
        <f t="shared" si="210"/>
        <v>51-80</v>
      </c>
      <c r="AI317" s="138">
        <f t="shared" si="211"/>
        <v>6509</v>
      </c>
      <c r="AJ317" s="36"/>
      <c r="AK317" s="36"/>
      <c r="AL317" s="37"/>
      <c r="AM317" s="79"/>
      <c r="AN317" s="79"/>
      <c r="AO317" s="79"/>
      <c r="AP317" s="136"/>
      <c r="AQ317" s="136"/>
      <c r="AR317" s="136"/>
      <c r="AS317" s="131"/>
      <c r="AT317" s="131"/>
      <c r="AU317" s="4"/>
    </row>
    <row r="318" spans="1:47" s="14" customFormat="1" x14ac:dyDescent="0.25">
      <c r="A318" s="53"/>
      <c r="B318" s="13" t="s">
        <v>21</v>
      </c>
      <c r="C318" s="89"/>
      <c r="D318" s="89" t="s">
        <v>1341</v>
      </c>
      <c r="E318" s="89" t="s">
        <v>1342</v>
      </c>
      <c r="F318" s="71" t="s">
        <v>1343</v>
      </c>
      <c r="G318" s="6" t="s">
        <v>1344</v>
      </c>
      <c r="H318" s="33">
        <v>421306</v>
      </c>
      <c r="I318" s="90">
        <v>85</v>
      </c>
      <c r="J318" s="90" t="str">
        <f t="shared" si="201"/>
        <v>81-110</v>
      </c>
      <c r="K318" s="91">
        <f t="shared" si="190"/>
        <v>8747.8561594387575</v>
      </c>
      <c r="L318" s="35">
        <v>35</v>
      </c>
      <c r="M318" s="35" t="str">
        <f t="shared" si="191"/>
        <v>31-50</v>
      </c>
      <c r="N318" s="36">
        <f t="shared" si="192"/>
        <v>5073.1976040297868</v>
      </c>
      <c r="O318" s="51">
        <v>66</v>
      </c>
      <c r="P318" s="51" t="str">
        <f t="shared" si="193"/>
        <v>51-80</v>
      </c>
      <c r="Q318" s="51">
        <f t="shared" si="194"/>
        <v>6509</v>
      </c>
      <c r="R318" s="49">
        <v>52</v>
      </c>
      <c r="S318" s="49" t="str">
        <f t="shared" si="195"/>
        <v>51-80</v>
      </c>
      <c r="T318" s="49">
        <f t="shared" si="196"/>
        <v>6509</v>
      </c>
      <c r="U318" s="50">
        <v>44</v>
      </c>
      <c r="V318" s="50" t="str">
        <f t="shared" si="197"/>
        <v>31-50</v>
      </c>
      <c r="W318" s="50">
        <f t="shared" si="198"/>
        <v>5073.1976040297868</v>
      </c>
      <c r="X318" s="143">
        <v>35</v>
      </c>
      <c r="Y318" s="143" t="str">
        <f t="shared" si="206"/>
        <v>31-50</v>
      </c>
      <c r="Z318" s="143">
        <f t="shared" si="207"/>
        <v>5073.1976040297868</v>
      </c>
      <c r="AA318" s="134">
        <v>52</v>
      </c>
      <c r="AB318" s="114" t="str">
        <f t="shared" ref="AB318:AB320" si="212">VLOOKUP(AA318,$AV$4:$AW$9,2,1)</f>
        <v>51-80</v>
      </c>
      <c r="AC318" s="114">
        <f t="shared" ref="AC318:AC320" si="213">VLOOKUP(AB318,$AW$3:$AX$9,2,0)</f>
        <v>6509</v>
      </c>
      <c r="AD318" s="131">
        <v>31</v>
      </c>
      <c r="AE318" s="129" t="str">
        <f t="shared" si="166"/>
        <v>31-50</v>
      </c>
      <c r="AF318" s="129">
        <f t="shared" si="167"/>
        <v>5073.1976040297868</v>
      </c>
      <c r="AG318" s="139">
        <v>76</v>
      </c>
      <c r="AH318" s="138" t="str">
        <f t="shared" ref="AH318:AH330" si="214">VLOOKUP(AG318,$AV$4:$AW$9,2,1)</f>
        <v>51-80</v>
      </c>
      <c r="AI318" s="138">
        <f t="shared" ref="AI318:AI330" si="215">VLOOKUP(AH318,$AW$3:$AX$9,2,0)</f>
        <v>6509</v>
      </c>
      <c r="AJ318" s="36"/>
      <c r="AK318" s="36"/>
      <c r="AL318" s="37"/>
      <c r="AM318" s="79"/>
      <c r="AN318" s="79"/>
      <c r="AO318" s="79"/>
      <c r="AP318" s="136"/>
      <c r="AQ318" s="136"/>
      <c r="AR318" s="136"/>
      <c r="AS318" s="131"/>
      <c r="AT318" s="131"/>
      <c r="AU318" s="4"/>
    </row>
    <row r="319" spans="1:47" s="14" customFormat="1" x14ac:dyDescent="0.25">
      <c r="A319" s="53"/>
      <c r="B319" s="13" t="s">
        <v>21</v>
      </c>
      <c r="C319" s="89"/>
      <c r="D319" s="89" t="s">
        <v>1352</v>
      </c>
      <c r="E319" s="89" t="s">
        <v>360</v>
      </c>
      <c r="F319" s="71" t="s">
        <v>1353</v>
      </c>
      <c r="G319" s="6" t="s">
        <v>1116</v>
      </c>
      <c r="H319" s="33">
        <v>401103</v>
      </c>
      <c r="I319" s="90">
        <v>202</v>
      </c>
      <c r="J319" s="90" t="str">
        <f t="shared" si="201"/>
        <v>110-130</v>
      </c>
      <c r="K319" s="91">
        <f t="shared" si="190"/>
        <v>10159.810450732197</v>
      </c>
      <c r="L319" s="35">
        <v>109</v>
      </c>
      <c r="M319" s="35" t="str">
        <f t="shared" si="191"/>
        <v>81-110</v>
      </c>
      <c r="N319" s="36">
        <f t="shared" si="192"/>
        <v>8747.8561594387575</v>
      </c>
      <c r="O319" s="51">
        <v>67</v>
      </c>
      <c r="P319" s="51" t="str">
        <f t="shared" si="193"/>
        <v>51-80</v>
      </c>
      <c r="Q319" s="51">
        <f t="shared" si="194"/>
        <v>6509</v>
      </c>
      <c r="R319" s="49">
        <v>110</v>
      </c>
      <c r="S319" s="49" t="str">
        <f t="shared" si="195"/>
        <v>110-130</v>
      </c>
      <c r="T319" s="49">
        <f t="shared" si="196"/>
        <v>10159.810450732197</v>
      </c>
      <c r="U319" s="50">
        <v>120</v>
      </c>
      <c r="V319" s="50" t="str">
        <f t="shared" si="197"/>
        <v>110-130</v>
      </c>
      <c r="W319" s="50">
        <f t="shared" si="198"/>
        <v>10159.810450732197</v>
      </c>
      <c r="X319" s="143">
        <v>120</v>
      </c>
      <c r="Y319" s="143" t="str">
        <f t="shared" si="206"/>
        <v>110-130</v>
      </c>
      <c r="Z319" s="143">
        <f t="shared" si="207"/>
        <v>10159.810450732197</v>
      </c>
      <c r="AA319" s="134">
        <v>107</v>
      </c>
      <c r="AB319" s="135" t="str">
        <f t="shared" si="212"/>
        <v>81-110</v>
      </c>
      <c r="AC319" s="135">
        <f t="shared" si="213"/>
        <v>8747.8561594387575</v>
      </c>
      <c r="AD319" s="131">
        <v>106</v>
      </c>
      <c r="AE319" s="129" t="str">
        <f t="shared" si="166"/>
        <v>81-110</v>
      </c>
      <c r="AF319" s="129">
        <f t="shared" si="167"/>
        <v>8747.8561594387575</v>
      </c>
      <c r="AG319" s="139">
        <v>46</v>
      </c>
      <c r="AH319" s="138" t="str">
        <f t="shared" si="214"/>
        <v>31-50</v>
      </c>
      <c r="AI319" s="138">
        <f t="shared" si="215"/>
        <v>5073.1976040297868</v>
      </c>
      <c r="AJ319" s="36"/>
      <c r="AK319" s="36"/>
      <c r="AL319" s="37"/>
      <c r="AM319" s="79"/>
      <c r="AN319" s="79"/>
      <c r="AO319" s="79"/>
      <c r="AP319" s="136"/>
      <c r="AQ319" s="136"/>
      <c r="AR319" s="136"/>
      <c r="AS319" s="131"/>
      <c r="AT319" s="131"/>
      <c r="AU319" s="4"/>
    </row>
    <row r="320" spans="1:47" s="14" customFormat="1" x14ac:dyDescent="0.25">
      <c r="A320" s="53"/>
      <c r="B320" s="13" t="s">
        <v>21</v>
      </c>
      <c r="C320" s="89"/>
      <c r="D320" s="89" t="s">
        <v>1361</v>
      </c>
      <c r="E320" s="89" t="s">
        <v>1362</v>
      </c>
      <c r="F320" s="71" t="s">
        <v>1364</v>
      </c>
      <c r="G320" s="6" t="s">
        <v>1363</v>
      </c>
      <c r="H320" s="33">
        <v>401303</v>
      </c>
      <c r="I320" s="90">
        <v>140</v>
      </c>
      <c r="J320" s="90" t="str">
        <f t="shared" si="201"/>
        <v>110-130</v>
      </c>
      <c r="K320" s="91">
        <f t="shared" si="190"/>
        <v>10159.810450732197</v>
      </c>
      <c r="L320" s="35">
        <v>48</v>
      </c>
      <c r="M320" s="35" t="str">
        <f t="shared" si="191"/>
        <v>31-50</v>
      </c>
      <c r="N320" s="36">
        <f t="shared" si="192"/>
        <v>5073.1976040297868</v>
      </c>
      <c r="O320" s="51">
        <v>5</v>
      </c>
      <c r="P320" s="51" t="str">
        <f t="shared" si="193"/>
        <v>0-20</v>
      </c>
      <c r="Q320" s="51">
        <f t="shared" si="194"/>
        <v>3844.3574443810608</v>
      </c>
      <c r="R320" s="49">
        <v>47</v>
      </c>
      <c r="S320" s="49" t="str">
        <f t="shared" si="195"/>
        <v>31-50</v>
      </c>
      <c r="T320" s="49">
        <f t="shared" si="196"/>
        <v>5073.1976040297868</v>
      </c>
      <c r="U320" s="50">
        <v>58</v>
      </c>
      <c r="V320" s="50" t="str">
        <f t="shared" si="197"/>
        <v>51-80</v>
      </c>
      <c r="W320" s="50">
        <f t="shared" si="198"/>
        <v>6509</v>
      </c>
      <c r="X320" s="143">
        <v>41</v>
      </c>
      <c r="Y320" s="143" t="str">
        <f t="shared" si="206"/>
        <v>31-50</v>
      </c>
      <c r="Z320" s="143">
        <f t="shared" si="207"/>
        <v>5073.1976040297868</v>
      </c>
      <c r="AA320" s="134">
        <v>45</v>
      </c>
      <c r="AB320" s="135" t="str">
        <f t="shared" si="212"/>
        <v>31-50</v>
      </c>
      <c r="AC320" s="135">
        <f t="shared" si="213"/>
        <v>5073.1976040297868</v>
      </c>
      <c r="AD320" s="131">
        <v>44</v>
      </c>
      <c r="AE320" s="129" t="str">
        <f t="shared" si="166"/>
        <v>31-50</v>
      </c>
      <c r="AF320" s="129">
        <f t="shared" si="167"/>
        <v>5073.1976040297868</v>
      </c>
      <c r="AG320" s="139">
        <v>48</v>
      </c>
      <c r="AH320" s="138" t="str">
        <f t="shared" si="214"/>
        <v>31-50</v>
      </c>
      <c r="AI320" s="138">
        <f t="shared" si="215"/>
        <v>5073.1976040297868</v>
      </c>
      <c r="AJ320" s="36"/>
      <c r="AK320" s="36"/>
      <c r="AL320" s="37"/>
      <c r="AM320" s="79"/>
      <c r="AN320" s="79"/>
      <c r="AO320" s="79"/>
      <c r="AP320" s="136"/>
      <c r="AQ320" s="136"/>
      <c r="AR320" s="136"/>
      <c r="AS320" s="131"/>
      <c r="AT320" s="131"/>
      <c r="AU320" s="4"/>
    </row>
    <row r="321" spans="1:47" s="14" customFormat="1" x14ac:dyDescent="0.25">
      <c r="A321" s="53"/>
      <c r="B321" s="13" t="s">
        <v>21</v>
      </c>
      <c r="C321" s="89"/>
      <c r="D321" s="89" t="s">
        <v>1370</v>
      </c>
      <c r="E321" s="89" t="s">
        <v>1371</v>
      </c>
      <c r="F321" s="71" t="s">
        <v>1373</v>
      </c>
      <c r="G321" s="6" t="s">
        <v>1372</v>
      </c>
      <c r="H321" s="33">
        <v>421601</v>
      </c>
      <c r="I321" s="90">
        <v>128</v>
      </c>
      <c r="J321" s="90" t="str">
        <f t="shared" si="201"/>
        <v>110-130</v>
      </c>
      <c r="K321" s="91">
        <f t="shared" si="190"/>
        <v>10159.810450732197</v>
      </c>
      <c r="L321" s="35">
        <v>54</v>
      </c>
      <c r="M321" s="35" t="str">
        <f t="shared" si="191"/>
        <v>51-80</v>
      </c>
      <c r="N321" s="36">
        <f t="shared" si="192"/>
        <v>6509</v>
      </c>
      <c r="O321" s="51">
        <v>57</v>
      </c>
      <c r="P321" s="51" t="str">
        <f t="shared" si="193"/>
        <v>51-80</v>
      </c>
      <c r="Q321" s="51">
        <f t="shared" si="194"/>
        <v>6509</v>
      </c>
      <c r="R321" s="49">
        <v>72</v>
      </c>
      <c r="S321" s="49" t="str">
        <f t="shared" si="195"/>
        <v>51-80</v>
      </c>
      <c r="T321" s="49">
        <f t="shared" si="196"/>
        <v>6509</v>
      </c>
      <c r="U321" s="50">
        <v>70</v>
      </c>
      <c r="V321" s="50" t="str">
        <f t="shared" si="197"/>
        <v>51-80</v>
      </c>
      <c r="W321" s="50">
        <f t="shared" si="198"/>
        <v>6509</v>
      </c>
      <c r="X321" s="143">
        <v>29</v>
      </c>
      <c r="Y321" s="143" t="str">
        <f t="shared" si="206"/>
        <v>21-30</v>
      </c>
      <c r="Z321" s="143">
        <f t="shared" si="207"/>
        <v>4508.6394748902885</v>
      </c>
      <c r="AA321" s="134"/>
      <c r="AB321" s="135"/>
      <c r="AC321" s="135"/>
      <c r="AD321" s="131"/>
      <c r="AE321" s="129"/>
      <c r="AF321" s="129"/>
      <c r="AG321" s="139">
        <v>50</v>
      </c>
      <c r="AH321" s="138" t="str">
        <f t="shared" si="214"/>
        <v>31-50</v>
      </c>
      <c r="AI321" s="138">
        <f t="shared" si="215"/>
        <v>5073.1976040297868</v>
      </c>
      <c r="AJ321" s="36"/>
      <c r="AK321" s="36"/>
      <c r="AL321" s="37"/>
      <c r="AM321" s="79"/>
      <c r="AN321" s="79"/>
      <c r="AO321" s="79"/>
      <c r="AP321" s="136"/>
      <c r="AQ321" s="136"/>
      <c r="AR321" s="136"/>
      <c r="AS321" s="131"/>
      <c r="AT321" s="131"/>
      <c r="AU321" s="4"/>
    </row>
    <row r="322" spans="1:47" s="14" customFormat="1" x14ac:dyDescent="0.25">
      <c r="A322" s="53"/>
      <c r="B322" s="137"/>
      <c r="C322" s="89"/>
      <c r="D322" s="89" t="s">
        <v>1374</v>
      </c>
      <c r="E322" s="89" t="s">
        <v>1375</v>
      </c>
      <c r="F322" s="71" t="s">
        <v>1376</v>
      </c>
      <c r="G322" s="6" t="s">
        <v>1144</v>
      </c>
      <c r="H322" s="33">
        <v>421101</v>
      </c>
      <c r="I322" s="90">
        <v>121</v>
      </c>
      <c r="J322" s="90" t="str">
        <f t="shared" si="201"/>
        <v>110-130</v>
      </c>
      <c r="K322" s="91">
        <f t="shared" si="190"/>
        <v>10159.810450732197</v>
      </c>
      <c r="L322" s="35">
        <v>33</v>
      </c>
      <c r="M322" s="35" t="str">
        <f t="shared" si="191"/>
        <v>31-50</v>
      </c>
      <c r="N322" s="36">
        <f t="shared" si="192"/>
        <v>5073.1976040297868</v>
      </c>
      <c r="O322" s="51">
        <v>47</v>
      </c>
      <c r="P322" s="51" t="str">
        <f t="shared" si="193"/>
        <v>31-50</v>
      </c>
      <c r="Q322" s="51">
        <f t="shared" si="194"/>
        <v>5073.1976040297868</v>
      </c>
      <c r="R322" s="49">
        <v>51</v>
      </c>
      <c r="S322" s="49" t="str">
        <f t="shared" si="195"/>
        <v>51-80</v>
      </c>
      <c r="T322" s="49">
        <f t="shared" si="196"/>
        <v>6509</v>
      </c>
      <c r="U322" s="50">
        <v>48</v>
      </c>
      <c r="V322" s="50" t="str">
        <f t="shared" si="197"/>
        <v>31-50</v>
      </c>
      <c r="W322" s="50">
        <f t="shared" si="198"/>
        <v>5073.1976040297868</v>
      </c>
      <c r="X322" s="143">
        <v>7</v>
      </c>
      <c r="Y322" s="143" t="str">
        <f t="shared" si="206"/>
        <v>0-20</v>
      </c>
      <c r="Z322" s="143">
        <f t="shared" si="207"/>
        <v>3844.3574443810608</v>
      </c>
      <c r="AA322" s="134"/>
      <c r="AB322" s="135"/>
      <c r="AC322" s="135"/>
      <c r="AD322" s="131"/>
      <c r="AE322" s="129"/>
      <c r="AF322" s="129"/>
      <c r="AG322" s="139">
        <v>64</v>
      </c>
      <c r="AH322" s="138" t="str">
        <f t="shared" si="214"/>
        <v>51-80</v>
      </c>
      <c r="AI322" s="138">
        <f t="shared" si="215"/>
        <v>6509</v>
      </c>
      <c r="AJ322" s="36"/>
      <c r="AK322" s="36"/>
      <c r="AL322" s="37"/>
      <c r="AM322" s="79"/>
      <c r="AN322" s="79"/>
      <c r="AO322" s="79"/>
      <c r="AP322" s="136"/>
      <c r="AQ322" s="136"/>
      <c r="AR322" s="136"/>
      <c r="AS322" s="131"/>
      <c r="AT322" s="131"/>
      <c r="AU322" s="4"/>
    </row>
    <row r="323" spans="1:47" s="14" customFormat="1" x14ac:dyDescent="0.25">
      <c r="A323" s="53"/>
      <c r="B323" s="137"/>
      <c r="C323" s="89"/>
      <c r="D323" s="89" t="s">
        <v>1377</v>
      </c>
      <c r="E323" s="89" t="s">
        <v>1378</v>
      </c>
      <c r="F323" s="71" t="s">
        <v>1379</v>
      </c>
      <c r="G323" s="6" t="s">
        <v>1193</v>
      </c>
      <c r="H323" s="33">
        <v>421004</v>
      </c>
      <c r="I323" s="90">
        <v>103</v>
      </c>
      <c r="J323" s="90" t="str">
        <f t="shared" si="201"/>
        <v>81-110</v>
      </c>
      <c r="K323" s="91">
        <f t="shared" si="190"/>
        <v>8747.8561594387575</v>
      </c>
      <c r="L323" s="35">
        <v>30</v>
      </c>
      <c r="M323" s="35" t="str">
        <f t="shared" si="191"/>
        <v>21-30</v>
      </c>
      <c r="N323" s="36">
        <f t="shared" si="192"/>
        <v>4508.6394748902885</v>
      </c>
      <c r="O323" s="51">
        <v>49</v>
      </c>
      <c r="P323" s="51" t="str">
        <f t="shared" si="193"/>
        <v>31-50</v>
      </c>
      <c r="Q323" s="51">
        <f t="shared" si="194"/>
        <v>5073.1976040297868</v>
      </c>
      <c r="R323" s="49">
        <v>48</v>
      </c>
      <c r="S323" s="49" t="str">
        <f t="shared" si="195"/>
        <v>31-50</v>
      </c>
      <c r="T323" s="49">
        <f t="shared" si="196"/>
        <v>5073.1976040297868</v>
      </c>
      <c r="U323" s="50">
        <v>46</v>
      </c>
      <c r="V323" s="50" t="str">
        <f t="shared" si="197"/>
        <v>31-50</v>
      </c>
      <c r="W323" s="50">
        <f t="shared" si="198"/>
        <v>5073.1976040297868</v>
      </c>
      <c r="X323" s="143">
        <v>25</v>
      </c>
      <c r="Y323" s="143" t="str">
        <f t="shared" si="206"/>
        <v>21-30</v>
      </c>
      <c r="Z323" s="143">
        <f t="shared" si="207"/>
        <v>4508.6394748902885</v>
      </c>
      <c r="AA323" s="134"/>
      <c r="AB323" s="135"/>
      <c r="AC323" s="135"/>
      <c r="AD323" s="131"/>
      <c r="AE323" s="129"/>
      <c r="AF323" s="129"/>
      <c r="AG323" s="139">
        <v>84</v>
      </c>
      <c r="AH323" s="138" t="str">
        <f t="shared" si="214"/>
        <v>81-110</v>
      </c>
      <c r="AI323" s="138">
        <f t="shared" si="215"/>
        <v>8747.8561594387575</v>
      </c>
      <c r="AJ323" s="36"/>
      <c r="AK323" s="36"/>
      <c r="AL323" s="37"/>
      <c r="AM323" s="79"/>
      <c r="AN323" s="79"/>
      <c r="AO323" s="79"/>
      <c r="AP323" s="136"/>
      <c r="AQ323" s="136"/>
      <c r="AR323" s="136"/>
      <c r="AS323" s="131"/>
      <c r="AT323" s="131"/>
      <c r="AU323" s="4"/>
    </row>
    <row r="324" spans="1:47" s="14" customFormat="1" x14ac:dyDescent="0.25">
      <c r="A324" s="53"/>
      <c r="B324" s="137"/>
      <c r="C324" s="89"/>
      <c r="D324" s="89" t="s">
        <v>1380</v>
      </c>
      <c r="E324" s="89" t="s">
        <v>1381</v>
      </c>
      <c r="F324" s="71" t="s">
        <v>1382</v>
      </c>
      <c r="G324" s="6" t="s">
        <v>1383</v>
      </c>
      <c r="H324" s="33">
        <v>421301</v>
      </c>
      <c r="I324" s="90">
        <v>102</v>
      </c>
      <c r="J324" s="90" t="str">
        <f t="shared" si="201"/>
        <v>81-110</v>
      </c>
      <c r="K324" s="91">
        <f t="shared" si="190"/>
        <v>8747.8561594387575</v>
      </c>
      <c r="L324" s="35">
        <v>25</v>
      </c>
      <c r="M324" s="35" t="str">
        <f t="shared" si="191"/>
        <v>21-30</v>
      </c>
      <c r="N324" s="36">
        <f t="shared" si="192"/>
        <v>4508.6394748902885</v>
      </c>
      <c r="O324" s="51">
        <v>56</v>
      </c>
      <c r="P324" s="51" t="str">
        <f t="shared" si="193"/>
        <v>51-80</v>
      </c>
      <c r="Q324" s="51">
        <f t="shared" si="194"/>
        <v>6509</v>
      </c>
      <c r="R324" s="49">
        <v>48</v>
      </c>
      <c r="S324" s="49" t="str">
        <f t="shared" si="195"/>
        <v>31-50</v>
      </c>
      <c r="T324" s="49">
        <f t="shared" si="196"/>
        <v>5073.1976040297868</v>
      </c>
      <c r="U324" s="50">
        <v>42</v>
      </c>
      <c r="V324" s="50" t="str">
        <f t="shared" si="197"/>
        <v>31-50</v>
      </c>
      <c r="W324" s="50">
        <f t="shared" si="198"/>
        <v>5073.1976040297868</v>
      </c>
      <c r="X324" s="143" t="s">
        <v>1458</v>
      </c>
      <c r="Y324" s="143" t="e">
        <f t="shared" si="206"/>
        <v>#N/A</v>
      </c>
      <c r="Z324" s="143" t="e">
        <f t="shared" si="207"/>
        <v>#N/A</v>
      </c>
      <c r="AA324" s="134"/>
      <c r="AB324" s="135"/>
      <c r="AC324" s="135"/>
      <c r="AD324" s="131"/>
      <c r="AE324" s="129"/>
      <c r="AF324" s="129"/>
      <c r="AG324" s="139">
        <v>68</v>
      </c>
      <c r="AH324" s="138" t="str">
        <f t="shared" si="214"/>
        <v>51-80</v>
      </c>
      <c r="AI324" s="138">
        <f t="shared" si="215"/>
        <v>6509</v>
      </c>
      <c r="AJ324" s="36"/>
      <c r="AK324" s="36"/>
      <c r="AL324" s="37"/>
      <c r="AM324" s="79"/>
      <c r="AN324" s="79"/>
      <c r="AO324" s="79"/>
      <c r="AP324" s="136"/>
      <c r="AQ324" s="136"/>
      <c r="AR324" s="136"/>
      <c r="AS324" s="131"/>
      <c r="AT324" s="131"/>
      <c r="AU324" s="4"/>
    </row>
    <row r="325" spans="1:47" s="14" customFormat="1" x14ac:dyDescent="0.25">
      <c r="A325" s="53"/>
      <c r="B325" s="137"/>
      <c r="C325" s="89"/>
      <c r="D325" s="89" t="s">
        <v>1384</v>
      </c>
      <c r="E325" s="89" t="s">
        <v>1385</v>
      </c>
      <c r="F325" s="71" t="s">
        <v>1386</v>
      </c>
      <c r="G325" s="6" t="s">
        <v>1237</v>
      </c>
      <c r="H325" s="33">
        <v>410210</v>
      </c>
      <c r="I325" s="90">
        <v>73</v>
      </c>
      <c r="J325" s="90" t="str">
        <f t="shared" si="201"/>
        <v>51-80</v>
      </c>
      <c r="K325" s="91">
        <f t="shared" si="190"/>
        <v>6509</v>
      </c>
      <c r="L325" s="35">
        <v>33</v>
      </c>
      <c r="M325" s="35" t="str">
        <f t="shared" si="191"/>
        <v>31-50</v>
      </c>
      <c r="N325" s="36">
        <f t="shared" si="192"/>
        <v>5073.1976040297868</v>
      </c>
      <c r="O325" s="51">
        <v>63</v>
      </c>
      <c r="P325" s="51" t="str">
        <f t="shared" si="193"/>
        <v>51-80</v>
      </c>
      <c r="Q325" s="51">
        <f t="shared" si="194"/>
        <v>6509</v>
      </c>
      <c r="R325" s="49">
        <v>37</v>
      </c>
      <c r="S325" s="49" t="str">
        <f t="shared" si="195"/>
        <v>31-50</v>
      </c>
      <c r="T325" s="49">
        <f t="shared" si="196"/>
        <v>5073.1976040297868</v>
      </c>
      <c r="U325" s="50">
        <v>28</v>
      </c>
      <c r="V325" s="50" t="str">
        <f t="shared" si="197"/>
        <v>21-30</v>
      </c>
      <c r="W325" s="50">
        <f t="shared" si="198"/>
        <v>4508.6394748902885</v>
      </c>
      <c r="X325" s="143" t="s">
        <v>1458</v>
      </c>
      <c r="Y325" s="143" t="e">
        <f t="shared" si="206"/>
        <v>#N/A</v>
      </c>
      <c r="Z325" s="143" t="e">
        <f t="shared" si="207"/>
        <v>#N/A</v>
      </c>
      <c r="AA325" s="134"/>
      <c r="AB325" s="135"/>
      <c r="AC325" s="135"/>
      <c r="AD325" s="131"/>
      <c r="AE325" s="129"/>
      <c r="AF325" s="129"/>
      <c r="AG325" s="139">
        <v>112</v>
      </c>
      <c r="AH325" s="138" t="str">
        <f t="shared" si="214"/>
        <v>110-130</v>
      </c>
      <c r="AI325" s="138">
        <f t="shared" si="215"/>
        <v>10159.810450732197</v>
      </c>
      <c r="AJ325" s="36"/>
      <c r="AK325" s="36"/>
      <c r="AL325" s="37"/>
      <c r="AM325" s="79"/>
      <c r="AN325" s="79"/>
      <c r="AO325" s="79"/>
      <c r="AP325" s="136"/>
      <c r="AQ325" s="136"/>
      <c r="AR325" s="136"/>
      <c r="AS325" s="131"/>
      <c r="AT325" s="131"/>
      <c r="AU325" s="4"/>
    </row>
    <row r="326" spans="1:47" s="14" customFormat="1" x14ac:dyDescent="0.25">
      <c r="A326" s="53"/>
      <c r="B326" s="137"/>
      <c r="C326" s="89"/>
      <c r="D326" s="89" t="s">
        <v>1387</v>
      </c>
      <c r="E326" s="89" t="s">
        <v>1388</v>
      </c>
      <c r="F326" s="71" t="s">
        <v>1389</v>
      </c>
      <c r="G326" s="6" t="s">
        <v>1209</v>
      </c>
      <c r="H326" s="33">
        <v>421312</v>
      </c>
      <c r="I326" s="90">
        <v>125</v>
      </c>
      <c r="J326" s="90" t="str">
        <f t="shared" si="201"/>
        <v>110-130</v>
      </c>
      <c r="K326" s="91">
        <f t="shared" si="190"/>
        <v>10159.810450732197</v>
      </c>
      <c r="L326" s="35">
        <v>38</v>
      </c>
      <c r="M326" s="35" t="str">
        <f t="shared" si="191"/>
        <v>31-50</v>
      </c>
      <c r="N326" s="36">
        <f t="shared" si="192"/>
        <v>5073.1976040297868</v>
      </c>
      <c r="O326" s="51">
        <v>30</v>
      </c>
      <c r="P326" s="51" t="str">
        <f t="shared" si="193"/>
        <v>21-30</v>
      </c>
      <c r="Q326" s="51">
        <f t="shared" si="194"/>
        <v>4508.6394748902885</v>
      </c>
      <c r="R326" s="49">
        <v>55</v>
      </c>
      <c r="S326" s="49" t="str">
        <f t="shared" si="195"/>
        <v>51-80</v>
      </c>
      <c r="T326" s="49">
        <f t="shared" si="196"/>
        <v>6509</v>
      </c>
      <c r="U326" s="50">
        <v>53</v>
      </c>
      <c r="V326" s="50" t="str">
        <f t="shared" si="197"/>
        <v>51-80</v>
      </c>
      <c r="W326" s="50">
        <f t="shared" si="198"/>
        <v>6509</v>
      </c>
      <c r="X326" s="143" t="s">
        <v>1458</v>
      </c>
      <c r="Y326" s="143" t="e">
        <f t="shared" si="206"/>
        <v>#N/A</v>
      </c>
      <c r="Z326" s="143" t="e">
        <f t="shared" si="207"/>
        <v>#N/A</v>
      </c>
      <c r="AA326" s="134"/>
      <c r="AB326" s="135"/>
      <c r="AC326" s="135"/>
      <c r="AD326" s="131"/>
      <c r="AE326" s="129"/>
      <c r="AF326" s="129"/>
      <c r="AG326" s="139">
        <v>33</v>
      </c>
      <c r="AH326" s="138" t="str">
        <f t="shared" si="214"/>
        <v>31-50</v>
      </c>
      <c r="AI326" s="138">
        <f t="shared" si="215"/>
        <v>5073.1976040297868</v>
      </c>
      <c r="AJ326" s="36"/>
      <c r="AK326" s="36"/>
      <c r="AL326" s="37"/>
      <c r="AM326" s="79"/>
      <c r="AN326" s="79"/>
      <c r="AO326" s="79"/>
      <c r="AP326" s="136"/>
      <c r="AQ326" s="136"/>
      <c r="AR326" s="136"/>
      <c r="AS326" s="131"/>
      <c r="AT326" s="131"/>
      <c r="AU326" s="4"/>
    </row>
    <row r="327" spans="1:47" s="14" customFormat="1" x14ac:dyDescent="0.25">
      <c r="A327" s="53"/>
      <c r="B327" s="137"/>
      <c r="C327" s="89"/>
      <c r="D327" s="89" t="s">
        <v>1390</v>
      </c>
      <c r="E327" s="89" t="s">
        <v>1391</v>
      </c>
      <c r="F327" s="71" t="s">
        <v>1392</v>
      </c>
      <c r="G327" s="6" t="s">
        <v>794</v>
      </c>
      <c r="H327" s="33">
        <v>400612</v>
      </c>
      <c r="I327" s="90">
        <v>88</v>
      </c>
      <c r="J327" s="90" t="str">
        <f t="shared" si="201"/>
        <v>81-110</v>
      </c>
      <c r="K327" s="91">
        <f t="shared" si="190"/>
        <v>8747.8561594387575</v>
      </c>
      <c r="L327" s="35">
        <v>17</v>
      </c>
      <c r="M327" s="35" t="str">
        <f t="shared" si="191"/>
        <v>0-20</v>
      </c>
      <c r="N327" s="36">
        <f t="shared" si="192"/>
        <v>3844.3574443810608</v>
      </c>
      <c r="O327" s="51">
        <v>48</v>
      </c>
      <c r="P327" s="51" t="str">
        <f t="shared" si="193"/>
        <v>31-50</v>
      </c>
      <c r="Q327" s="51">
        <f t="shared" si="194"/>
        <v>5073.1976040297868</v>
      </c>
      <c r="R327" s="49">
        <v>35</v>
      </c>
      <c r="S327" s="49" t="str">
        <f t="shared" si="195"/>
        <v>31-50</v>
      </c>
      <c r="T327" s="49">
        <f t="shared" si="196"/>
        <v>5073.1976040297868</v>
      </c>
      <c r="U327" s="50">
        <v>33</v>
      </c>
      <c r="V327" s="50" t="str">
        <f t="shared" si="197"/>
        <v>31-50</v>
      </c>
      <c r="W327" s="50">
        <f t="shared" si="198"/>
        <v>5073.1976040297868</v>
      </c>
      <c r="X327" s="143">
        <v>32</v>
      </c>
      <c r="Y327" s="143" t="str">
        <f t="shared" si="206"/>
        <v>31-50</v>
      </c>
      <c r="Z327" s="143">
        <f t="shared" si="207"/>
        <v>5073.1976040297868</v>
      </c>
      <c r="AA327" s="134"/>
      <c r="AB327" s="135"/>
      <c r="AC327" s="135"/>
      <c r="AD327" s="131"/>
      <c r="AE327" s="129"/>
      <c r="AF327" s="129"/>
      <c r="AG327" s="139">
        <v>97</v>
      </c>
      <c r="AH327" s="138" t="str">
        <f t="shared" si="214"/>
        <v>81-110</v>
      </c>
      <c r="AI327" s="138">
        <f t="shared" si="215"/>
        <v>8747.8561594387575</v>
      </c>
      <c r="AJ327" s="36"/>
      <c r="AK327" s="36"/>
      <c r="AL327" s="37"/>
      <c r="AM327" s="79"/>
      <c r="AN327" s="79"/>
      <c r="AO327" s="79"/>
      <c r="AP327" s="136"/>
      <c r="AQ327" s="136"/>
      <c r="AR327" s="136"/>
      <c r="AS327" s="131"/>
      <c r="AT327" s="131"/>
      <c r="AU327" s="4"/>
    </row>
    <row r="328" spans="1:47" s="14" customFormat="1" x14ac:dyDescent="0.25">
      <c r="A328" s="53"/>
      <c r="B328" s="137"/>
      <c r="C328" s="89"/>
      <c r="D328" s="89" t="s">
        <v>1393</v>
      </c>
      <c r="E328" s="89" t="s">
        <v>672</v>
      </c>
      <c r="F328" s="71" t="s">
        <v>1394</v>
      </c>
      <c r="G328" s="6" t="s">
        <v>1395</v>
      </c>
      <c r="H328" s="33">
        <v>401101</v>
      </c>
      <c r="I328" s="90"/>
      <c r="J328" s="90"/>
      <c r="K328" s="91"/>
      <c r="L328" s="35">
        <v>30</v>
      </c>
      <c r="M328" s="35" t="str">
        <f t="shared" si="191"/>
        <v>21-30</v>
      </c>
      <c r="N328" s="36">
        <f t="shared" si="192"/>
        <v>4508.6394748902885</v>
      </c>
      <c r="O328" s="51">
        <v>34</v>
      </c>
      <c r="P328" s="51" t="str">
        <f t="shared" si="193"/>
        <v>31-50</v>
      </c>
      <c r="Q328" s="51">
        <f t="shared" si="194"/>
        <v>5073.1976040297868</v>
      </c>
      <c r="R328" s="49">
        <v>26</v>
      </c>
      <c r="S328" s="49" t="str">
        <f t="shared" si="195"/>
        <v>21-30</v>
      </c>
      <c r="T328" s="49">
        <f t="shared" si="196"/>
        <v>4508.6394748902885</v>
      </c>
      <c r="U328" s="50">
        <v>36</v>
      </c>
      <c r="V328" s="50" t="str">
        <f t="shared" si="197"/>
        <v>31-50</v>
      </c>
      <c r="W328" s="50">
        <f t="shared" si="198"/>
        <v>5073.1976040297868</v>
      </c>
      <c r="X328" s="143">
        <v>50</v>
      </c>
      <c r="Y328" s="143" t="str">
        <f t="shared" si="206"/>
        <v>31-50</v>
      </c>
      <c r="Z328" s="143">
        <f t="shared" si="207"/>
        <v>5073.1976040297868</v>
      </c>
      <c r="AA328" s="134"/>
      <c r="AB328" s="135"/>
      <c r="AC328" s="135"/>
      <c r="AD328" s="131"/>
      <c r="AE328" s="129"/>
      <c r="AF328" s="129"/>
      <c r="AG328" s="139">
        <v>77</v>
      </c>
      <c r="AH328" s="138" t="str">
        <f t="shared" si="214"/>
        <v>51-80</v>
      </c>
      <c r="AI328" s="138">
        <f t="shared" si="215"/>
        <v>6509</v>
      </c>
      <c r="AJ328" s="36"/>
      <c r="AK328" s="36"/>
      <c r="AL328" s="37"/>
      <c r="AM328" s="79"/>
      <c r="AN328" s="79"/>
      <c r="AO328" s="79"/>
      <c r="AP328" s="136"/>
      <c r="AQ328" s="136"/>
      <c r="AR328" s="136"/>
      <c r="AS328" s="131"/>
      <c r="AT328" s="131"/>
      <c r="AU328" s="4"/>
    </row>
    <row r="329" spans="1:47" s="14" customFormat="1" x14ac:dyDescent="0.25">
      <c r="A329" s="53"/>
      <c r="B329" s="137"/>
      <c r="C329" s="89"/>
      <c r="D329" s="89" t="s">
        <v>1396</v>
      </c>
      <c r="E329" s="89" t="s">
        <v>1397</v>
      </c>
      <c r="F329" s="71" t="s">
        <v>1398</v>
      </c>
      <c r="G329" s="6" t="s">
        <v>482</v>
      </c>
      <c r="H329" s="33">
        <v>410209</v>
      </c>
      <c r="I329" s="90"/>
      <c r="J329" s="90"/>
      <c r="K329" s="91"/>
      <c r="L329" s="35">
        <v>36</v>
      </c>
      <c r="M329" s="35" t="str">
        <f t="shared" si="191"/>
        <v>31-50</v>
      </c>
      <c r="N329" s="36">
        <f t="shared" si="192"/>
        <v>5073.1976040297868</v>
      </c>
      <c r="O329" s="51">
        <v>86</v>
      </c>
      <c r="P329" s="51" t="str">
        <f t="shared" si="193"/>
        <v>81-110</v>
      </c>
      <c r="Q329" s="51">
        <f t="shared" si="194"/>
        <v>8747.8561594387575</v>
      </c>
      <c r="R329" s="49">
        <v>40</v>
      </c>
      <c r="S329" s="49" t="str">
        <f t="shared" si="195"/>
        <v>31-50</v>
      </c>
      <c r="T329" s="49">
        <f t="shared" si="196"/>
        <v>5073.1976040297868</v>
      </c>
      <c r="U329" s="50">
        <v>30</v>
      </c>
      <c r="V329" s="50" t="str">
        <f t="shared" si="197"/>
        <v>21-30</v>
      </c>
      <c r="W329" s="50">
        <f t="shared" si="198"/>
        <v>4508.6394748902885</v>
      </c>
      <c r="X329" s="143">
        <v>55</v>
      </c>
      <c r="Y329" s="143" t="str">
        <f t="shared" si="206"/>
        <v>51-80</v>
      </c>
      <c r="Z329" s="143">
        <f t="shared" si="207"/>
        <v>6509</v>
      </c>
      <c r="AA329" s="134"/>
      <c r="AB329" s="135"/>
      <c r="AC329" s="135"/>
      <c r="AD329" s="131"/>
      <c r="AE329" s="129"/>
      <c r="AF329" s="129"/>
      <c r="AG329" s="139">
        <v>117</v>
      </c>
      <c r="AH329" s="138" t="str">
        <f t="shared" si="214"/>
        <v>110-130</v>
      </c>
      <c r="AI329" s="138">
        <f t="shared" si="215"/>
        <v>10159.810450732197</v>
      </c>
      <c r="AJ329" s="36"/>
      <c r="AK329" s="36"/>
      <c r="AL329" s="37"/>
      <c r="AM329" s="79"/>
      <c r="AN329" s="79"/>
      <c r="AO329" s="79"/>
      <c r="AP329" s="136"/>
      <c r="AQ329" s="136"/>
      <c r="AR329" s="136"/>
      <c r="AS329" s="131"/>
      <c r="AT329" s="131"/>
      <c r="AU329" s="4"/>
    </row>
    <row r="330" spans="1:47" s="14" customFormat="1" x14ac:dyDescent="0.25">
      <c r="A330" s="53"/>
      <c r="B330" s="137"/>
      <c r="C330" s="89"/>
      <c r="D330" s="89" t="s">
        <v>1399</v>
      </c>
      <c r="E330" s="89" t="s">
        <v>1400</v>
      </c>
      <c r="F330" s="71" t="s">
        <v>1401</v>
      </c>
      <c r="G330" s="6" t="s">
        <v>1402</v>
      </c>
      <c r="H330" s="33">
        <v>421203</v>
      </c>
      <c r="I330" s="90"/>
      <c r="J330" s="90"/>
      <c r="K330" s="91"/>
      <c r="L330" s="35">
        <v>30</v>
      </c>
      <c r="M330" s="35" t="str">
        <f t="shared" si="191"/>
        <v>21-30</v>
      </c>
      <c r="N330" s="36">
        <f t="shared" si="192"/>
        <v>4508.6394748902885</v>
      </c>
      <c r="O330" s="51">
        <v>51</v>
      </c>
      <c r="P330" s="51" t="str">
        <f t="shared" si="193"/>
        <v>51-80</v>
      </c>
      <c r="Q330" s="51">
        <f t="shared" si="194"/>
        <v>6509</v>
      </c>
      <c r="R330" s="49">
        <v>48</v>
      </c>
      <c r="S330" s="49" t="str">
        <f t="shared" si="195"/>
        <v>31-50</v>
      </c>
      <c r="T330" s="49">
        <f t="shared" si="196"/>
        <v>5073.1976040297868</v>
      </c>
      <c r="U330" s="50">
        <v>43</v>
      </c>
      <c r="V330" s="50" t="str">
        <f t="shared" si="197"/>
        <v>31-50</v>
      </c>
      <c r="W330" s="50">
        <f t="shared" si="198"/>
        <v>5073.1976040297868</v>
      </c>
      <c r="X330" s="143" t="s">
        <v>1458</v>
      </c>
      <c r="Y330" s="143" t="e">
        <f t="shared" si="206"/>
        <v>#N/A</v>
      </c>
      <c r="Z330" s="143" t="e">
        <f t="shared" si="207"/>
        <v>#N/A</v>
      </c>
      <c r="AA330" s="134"/>
      <c r="AB330" s="135"/>
      <c r="AC330" s="135"/>
      <c r="AD330" s="131"/>
      <c r="AE330" s="129" t="str">
        <f t="shared" si="166"/>
        <v>0-20</v>
      </c>
      <c r="AF330" s="129">
        <f t="shared" si="167"/>
        <v>3844.3574443810608</v>
      </c>
      <c r="AG330" s="139">
        <v>93</v>
      </c>
      <c r="AH330" s="138" t="str">
        <f t="shared" si="214"/>
        <v>81-110</v>
      </c>
      <c r="AI330" s="138">
        <f t="shared" si="215"/>
        <v>8747.8561594387575</v>
      </c>
      <c r="AJ330" s="36"/>
      <c r="AK330" s="36"/>
      <c r="AL330" s="37"/>
      <c r="AM330" s="79"/>
      <c r="AN330" s="79"/>
      <c r="AO330" s="79"/>
      <c r="AP330" s="136"/>
      <c r="AQ330" s="136"/>
      <c r="AR330" s="136"/>
      <c r="AS330" s="131"/>
      <c r="AT330" s="131"/>
      <c r="AU330" s="4"/>
    </row>
    <row r="331" spans="1:47" s="14" customFormat="1" x14ac:dyDescent="0.25">
      <c r="A331" s="53"/>
      <c r="B331" s="71"/>
      <c r="C331" s="89"/>
      <c r="D331" s="89" t="s">
        <v>1404</v>
      </c>
      <c r="E331" s="89" t="s">
        <v>1405</v>
      </c>
      <c r="F331" s="71" t="s">
        <v>1407</v>
      </c>
      <c r="G331" s="6" t="s">
        <v>1406</v>
      </c>
      <c r="H331" s="33">
        <v>401605</v>
      </c>
      <c r="I331" s="35"/>
      <c r="J331" s="35"/>
      <c r="K331" s="36"/>
      <c r="L331" s="35">
        <v>97</v>
      </c>
      <c r="M331" s="35" t="str">
        <f t="shared" si="191"/>
        <v>81-110</v>
      </c>
      <c r="N331" s="36">
        <f t="shared" si="192"/>
        <v>8747.8561594387575</v>
      </c>
      <c r="O331" s="51">
        <v>57</v>
      </c>
      <c r="P331" s="51" t="str">
        <f t="shared" si="193"/>
        <v>51-80</v>
      </c>
      <c r="Q331" s="51">
        <f t="shared" si="194"/>
        <v>6509</v>
      </c>
      <c r="R331" s="49">
        <v>99</v>
      </c>
      <c r="S331" s="49" t="str">
        <f t="shared" si="195"/>
        <v>81-110</v>
      </c>
      <c r="T331" s="49">
        <f t="shared" si="196"/>
        <v>8747.8561594387575</v>
      </c>
      <c r="U331" s="50">
        <v>113</v>
      </c>
      <c r="V331" s="50" t="str">
        <f t="shared" si="197"/>
        <v>110-130</v>
      </c>
      <c r="W331" s="50">
        <f t="shared" si="198"/>
        <v>10159.810450732197</v>
      </c>
      <c r="X331" s="143">
        <v>23</v>
      </c>
      <c r="Y331" s="143" t="str">
        <f t="shared" si="206"/>
        <v>21-30</v>
      </c>
      <c r="Z331" s="143">
        <f t="shared" si="207"/>
        <v>4508.6394748902885</v>
      </c>
      <c r="AA331" s="134"/>
      <c r="AB331" s="135"/>
      <c r="AC331" s="135"/>
      <c r="AD331" s="131"/>
      <c r="AE331" s="129" t="str">
        <f t="shared" si="166"/>
        <v>0-20</v>
      </c>
      <c r="AF331" s="129">
        <f t="shared" si="167"/>
        <v>3844.3574443810608</v>
      </c>
      <c r="AG331" s="139">
        <v>18</v>
      </c>
      <c r="AH331" s="138" t="str">
        <f t="shared" si="174"/>
        <v>0-20</v>
      </c>
      <c r="AI331" s="138">
        <f t="shared" si="175"/>
        <v>3844.3574443810608</v>
      </c>
      <c r="AJ331" s="36"/>
      <c r="AK331" s="36"/>
      <c r="AL331" s="37"/>
      <c r="AM331" s="79"/>
      <c r="AN331" s="79"/>
      <c r="AO331" s="79"/>
      <c r="AP331" s="136"/>
      <c r="AQ331" s="136"/>
      <c r="AR331" s="136"/>
      <c r="AS331" s="131"/>
      <c r="AT331" s="131"/>
      <c r="AU331" s="4"/>
    </row>
    <row r="332" spans="1:47" s="14" customFormat="1" x14ac:dyDescent="0.25">
      <c r="A332" s="53"/>
      <c r="B332" s="71"/>
      <c r="C332" s="89"/>
      <c r="D332" s="89" t="s">
        <v>1409</v>
      </c>
      <c r="E332" s="89" t="s">
        <v>1410</v>
      </c>
      <c r="F332" s="71" t="s">
        <v>1411</v>
      </c>
      <c r="G332" s="6" t="s">
        <v>1412</v>
      </c>
      <c r="H332" s="33">
        <v>421503</v>
      </c>
      <c r="I332" s="35"/>
      <c r="J332" s="35"/>
      <c r="K332" s="36"/>
      <c r="L332" s="35">
        <v>43</v>
      </c>
      <c r="M332" s="35" t="str">
        <f t="shared" si="191"/>
        <v>31-50</v>
      </c>
      <c r="N332" s="36">
        <f t="shared" si="192"/>
        <v>5073.1976040297868</v>
      </c>
      <c r="O332" s="51">
        <v>78</v>
      </c>
      <c r="P332" s="51" t="str">
        <f t="shared" si="193"/>
        <v>51-80</v>
      </c>
      <c r="Q332" s="51">
        <f t="shared" si="194"/>
        <v>6509</v>
      </c>
      <c r="R332" s="49">
        <v>54</v>
      </c>
      <c r="S332" s="49" t="str">
        <f t="shared" si="195"/>
        <v>51-80</v>
      </c>
      <c r="T332" s="49">
        <f t="shared" si="196"/>
        <v>6509</v>
      </c>
      <c r="U332" s="50">
        <v>52</v>
      </c>
      <c r="V332" s="50" t="str">
        <f t="shared" si="197"/>
        <v>51-80</v>
      </c>
      <c r="W332" s="50">
        <f t="shared" si="198"/>
        <v>6509</v>
      </c>
      <c r="X332" s="143">
        <v>34</v>
      </c>
      <c r="Y332" s="143" t="str">
        <f t="shared" si="206"/>
        <v>31-50</v>
      </c>
      <c r="Z332" s="143">
        <f t="shared" si="207"/>
        <v>5073.1976040297868</v>
      </c>
      <c r="AA332" s="134"/>
      <c r="AB332" s="135"/>
      <c r="AC332" s="135"/>
      <c r="AD332" s="131"/>
      <c r="AE332" s="129"/>
      <c r="AF332" s="129"/>
      <c r="AG332" s="139">
        <v>88</v>
      </c>
      <c r="AH332" s="138" t="str">
        <f t="shared" si="174"/>
        <v>81-110</v>
      </c>
      <c r="AI332" s="138">
        <f t="shared" si="175"/>
        <v>8747.8561594387575</v>
      </c>
      <c r="AJ332" s="36"/>
      <c r="AK332" s="36"/>
      <c r="AL332" s="37"/>
      <c r="AM332" s="79"/>
      <c r="AN332" s="79"/>
      <c r="AO332" s="79"/>
      <c r="AP332" s="136"/>
      <c r="AQ332" s="136"/>
      <c r="AR332" s="136"/>
      <c r="AS332" s="131"/>
      <c r="AT332" s="131"/>
      <c r="AU332" s="4"/>
    </row>
    <row r="333" spans="1:47" s="14" customFormat="1" x14ac:dyDescent="0.25">
      <c r="A333" s="53"/>
      <c r="B333" s="71"/>
      <c r="C333" s="89"/>
      <c r="D333" s="89" t="s">
        <v>1413</v>
      </c>
      <c r="E333" s="89" t="s">
        <v>1414</v>
      </c>
      <c r="F333" s="71" t="s">
        <v>1415</v>
      </c>
      <c r="G333" s="6" t="s">
        <v>822</v>
      </c>
      <c r="H333" s="33">
        <v>421301</v>
      </c>
      <c r="I333" s="35"/>
      <c r="J333" s="35"/>
      <c r="K333" s="36"/>
      <c r="L333" s="35">
        <v>25</v>
      </c>
      <c r="M333" s="35" t="str">
        <f t="shared" si="191"/>
        <v>21-30</v>
      </c>
      <c r="N333" s="36">
        <f t="shared" si="192"/>
        <v>4508.6394748902885</v>
      </c>
      <c r="O333" s="51">
        <v>61</v>
      </c>
      <c r="P333" s="51" t="str">
        <f t="shared" si="193"/>
        <v>51-80</v>
      </c>
      <c r="Q333" s="51">
        <f t="shared" si="194"/>
        <v>6509</v>
      </c>
      <c r="R333" s="49">
        <v>44</v>
      </c>
      <c r="S333" s="49" t="str">
        <f t="shared" si="195"/>
        <v>31-50</v>
      </c>
      <c r="T333" s="49">
        <f t="shared" si="196"/>
        <v>5073.1976040297868</v>
      </c>
      <c r="U333" s="50">
        <v>41</v>
      </c>
      <c r="V333" s="50" t="str">
        <f t="shared" si="197"/>
        <v>31-50</v>
      </c>
      <c r="W333" s="50">
        <f t="shared" si="198"/>
        <v>5073.1976040297868</v>
      </c>
      <c r="X333" s="143">
        <v>19</v>
      </c>
      <c r="Y333" s="143" t="str">
        <f t="shared" si="206"/>
        <v>0-20</v>
      </c>
      <c r="Z333" s="143">
        <f t="shared" si="207"/>
        <v>3844.3574443810608</v>
      </c>
      <c r="AA333" s="116"/>
      <c r="AB333" s="114" t="str">
        <f t="shared" ref="AB333:AB334" si="216">VLOOKUP(AA333,$AV$4:$AW$9,2,1)</f>
        <v>0-20</v>
      </c>
      <c r="AC333" s="114">
        <f t="shared" ref="AC333:AC334" si="217">VLOOKUP(AB333,$AW$3:$AX$9,2,0)</f>
        <v>3844.3574443810608</v>
      </c>
      <c r="AD333" s="129"/>
      <c r="AE333" s="129" t="str">
        <f t="shared" ref="AE333:AE334" si="218">VLOOKUP(AD333,$AV$4:$AW$9,2,1)</f>
        <v>0-20</v>
      </c>
      <c r="AF333" s="129">
        <f t="shared" ref="AF333:AF334" si="219">VLOOKUP(AE333,$AW$3:$AX$9,2,0)</f>
        <v>3844.3574443810608</v>
      </c>
      <c r="AG333" s="138">
        <v>72</v>
      </c>
      <c r="AH333" s="138" t="str">
        <f t="shared" si="174"/>
        <v>51-80</v>
      </c>
      <c r="AI333" s="138">
        <f t="shared" si="175"/>
        <v>6509</v>
      </c>
      <c r="AJ333" s="36">
        <v>46</v>
      </c>
      <c r="AK333" s="36" t="str">
        <f t="shared" ref="AK333" si="220">VLOOKUP(AJ333,$AV$3:$AW$9,2,1)</f>
        <v>31-50</v>
      </c>
      <c r="AL333" s="37">
        <f t="shared" ref="AL333" si="221">VLOOKUP(AK333,$AW$3:$AX$9,2,0)</f>
        <v>5073.1976040297868</v>
      </c>
      <c r="AM333" s="37">
        <v>65</v>
      </c>
      <c r="AN333" s="3" t="str">
        <f t="shared" ref="AN333" si="222">VLOOKUP(AM333,$AV$4:$AW$9,2,1)</f>
        <v>51-80</v>
      </c>
      <c r="AO333" s="119">
        <f t="shared" ref="AO333" si="223">VLOOKUP(AN333,$AW$3:$AX$9,2,0)</f>
        <v>6509</v>
      </c>
      <c r="AP333" s="133"/>
      <c r="AQ333" s="133" t="str">
        <f t="shared" ref="AQ333" si="224">VLOOKUP(AP333,$AV$4:$AW$9,2,1)</f>
        <v>0-20</v>
      </c>
      <c r="AR333" s="133">
        <f t="shared" ref="AR333" si="225">VLOOKUP(AQ333,$AW$3:$AX$9,2,0)</f>
        <v>3844.3574443810608</v>
      </c>
      <c r="AS333" s="131"/>
      <c r="AT333" s="131"/>
      <c r="AU333" s="4"/>
    </row>
    <row r="334" spans="1:47" s="14" customFormat="1" x14ac:dyDescent="0.25">
      <c r="A334" s="53"/>
      <c r="B334" s="71"/>
      <c r="C334" s="89"/>
      <c r="D334" s="89" t="s">
        <v>1416</v>
      </c>
      <c r="E334" s="89" t="s">
        <v>1417</v>
      </c>
      <c r="F334" s="71" t="s">
        <v>1418</v>
      </c>
      <c r="G334" s="6" t="s">
        <v>1419</v>
      </c>
      <c r="H334" s="33">
        <v>421201</v>
      </c>
      <c r="I334" s="35"/>
      <c r="J334" s="35"/>
      <c r="K334" s="36"/>
      <c r="L334" s="35">
        <v>47</v>
      </c>
      <c r="M334" s="35" t="str">
        <f t="shared" si="191"/>
        <v>31-50</v>
      </c>
      <c r="N334" s="36">
        <f t="shared" si="192"/>
        <v>5073.1976040297868</v>
      </c>
      <c r="O334" s="51">
        <v>56</v>
      </c>
      <c r="P334" s="51" t="str">
        <f t="shared" si="193"/>
        <v>51-80</v>
      </c>
      <c r="Q334" s="51">
        <f t="shared" si="194"/>
        <v>6509</v>
      </c>
      <c r="R334" s="49">
        <v>39</v>
      </c>
      <c r="S334" s="49" t="str">
        <f t="shared" si="195"/>
        <v>31-50</v>
      </c>
      <c r="T334" s="49">
        <f t="shared" si="196"/>
        <v>5073.1976040297868</v>
      </c>
      <c r="U334" s="50">
        <v>37</v>
      </c>
      <c r="V334" s="50" t="str">
        <f t="shared" si="197"/>
        <v>31-50</v>
      </c>
      <c r="W334" s="50">
        <f t="shared" si="198"/>
        <v>5073.1976040297868</v>
      </c>
      <c r="X334" s="143">
        <v>23</v>
      </c>
      <c r="Y334" s="143" t="str">
        <f t="shared" si="206"/>
        <v>21-30</v>
      </c>
      <c r="Z334" s="143">
        <f t="shared" si="207"/>
        <v>4508.6394748902885</v>
      </c>
      <c r="AA334" s="116"/>
      <c r="AB334" s="114" t="str">
        <f t="shared" si="216"/>
        <v>0-20</v>
      </c>
      <c r="AC334" s="114">
        <f t="shared" si="217"/>
        <v>3844.3574443810608</v>
      </c>
      <c r="AD334" s="129"/>
      <c r="AE334" s="129" t="str">
        <f t="shared" si="218"/>
        <v>0-20</v>
      </c>
      <c r="AF334" s="129">
        <f t="shared" si="219"/>
        <v>3844.3574443810608</v>
      </c>
      <c r="AG334" s="138">
        <v>86</v>
      </c>
      <c r="AH334" s="138" t="str">
        <f t="shared" si="174"/>
        <v>81-110</v>
      </c>
      <c r="AI334" s="138">
        <f t="shared" si="175"/>
        <v>8747.8561594387575</v>
      </c>
      <c r="AJ334" s="36"/>
      <c r="AK334" s="36"/>
      <c r="AL334" s="37"/>
      <c r="AM334" s="79"/>
      <c r="AN334" s="79"/>
      <c r="AO334" s="79"/>
      <c r="AP334" s="136"/>
      <c r="AQ334" s="136"/>
      <c r="AR334" s="136"/>
      <c r="AS334" s="131"/>
      <c r="AT334" s="131"/>
      <c r="AU334" s="4"/>
    </row>
    <row r="335" spans="1:47" s="14" customFormat="1" x14ac:dyDescent="0.25">
      <c r="A335" s="53"/>
      <c r="B335" s="71"/>
      <c r="C335" s="89"/>
      <c r="D335" s="89" t="s">
        <v>1420</v>
      </c>
      <c r="E335" s="89" t="s">
        <v>1421</v>
      </c>
      <c r="F335" s="71" t="s">
        <v>1504</v>
      </c>
      <c r="G335" s="6" t="s">
        <v>1422</v>
      </c>
      <c r="H335" s="33">
        <v>421503</v>
      </c>
      <c r="I335" s="35"/>
      <c r="J335" s="35"/>
      <c r="K335" s="36"/>
      <c r="L335" s="35">
        <v>42</v>
      </c>
      <c r="M335" s="35" t="str">
        <f t="shared" si="191"/>
        <v>31-50</v>
      </c>
      <c r="N335" s="36">
        <f t="shared" si="192"/>
        <v>5073.1976040297868</v>
      </c>
      <c r="O335" s="51">
        <v>77</v>
      </c>
      <c r="P335" s="51" t="str">
        <f t="shared" si="193"/>
        <v>51-80</v>
      </c>
      <c r="Q335" s="51">
        <f t="shared" si="194"/>
        <v>6509</v>
      </c>
      <c r="R335" s="49">
        <v>54</v>
      </c>
      <c r="S335" s="49" t="str">
        <f t="shared" si="195"/>
        <v>51-80</v>
      </c>
      <c r="T335" s="49">
        <f t="shared" si="196"/>
        <v>6509</v>
      </c>
      <c r="U335" s="50">
        <v>51</v>
      </c>
      <c r="V335" s="50" t="str">
        <f t="shared" si="197"/>
        <v>51-80</v>
      </c>
      <c r="W335" s="50">
        <f t="shared" si="198"/>
        <v>6509</v>
      </c>
      <c r="X335" s="143">
        <v>36</v>
      </c>
      <c r="Y335" s="143" t="str">
        <f t="shared" si="206"/>
        <v>31-50</v>
      </c>
      <c r="Z335" s="143">
        <f t="shared" si="207"/>
        <v>5073.1976040297868</v>
      </c>
      <c r="AA335" s="134"/>
      <c r="AB335" s="135"/>
      <c r="AC335" s="135"/>
      <c r="AD335" s="131"/>
      <c r="AE335" s="129"/>
      <c r="AF335" s="129"/>
      <c r="AG335" s="139">
        <v>88</v>
      </c>
      <c r="AH335" s="138" t="str">
        <f t="shared" si="174"/>
        <v>81-110</v>
      </c>
      <c r="AI335" s="138">
        <f t="shared" si="175"/>
        <v>8747.8561594387575</v>
      </c>
      <c r="AJ335" s="36"/>
      <c r="AK335" s="36"/>
      <c r="AL335" s="37"/>
      <c r="AM335" s="79"/>
      <c r="AN335" s="79"/>
      <c r="AO335" s="79"/>
      <c r="AP335" s="136"/>
      <c r="AQ335" s="136"/>
      <c r="AR335" s="136"/>
      <c r="AS335" s="131"/>
      <c r="AT335" s="131"/>
      <c r="AU335" s="4"/>
    </row>
    <row r="336" spans="1:47" s="14" customFormat="1" x14ac:dyDescent="0.25">
      <c r="A336" s="53"/>
      <c r="B336" s="71"/>
      <c r="C336" s="89"/>
      <c r="D336" s="89" t="s">
        <v>1423</v>
      </c>
      <c r="E336" s="89" t="s">
        <v>1424</v>
      </c>
      <c r="F336" s="71" t="s">
        <v>1455</v>
      </c>
      <c r="G336" s="6" t="s">
        <v>1383</v>
      </c>
      <c r="H336" s="33">
        <v>421301</v>
      </c>
      <c r="I336" s="35"/>
      <c r="J336" s="35"/>
      <c r="K336" s="36"/>
      <c r="L336" s="35">
        <v>22</v>
      </c>
      <c r="M336" s="35" t="str">
        <f t="shared" si="191"/>
        <v>21-30</v>
      </c>
      <c r="N336" s="36">
        <f t="shared" si="192"/>
        <v>4508.6394748902885</v>
      </c>
      <c r="O336" s="51">
        <v>49</v>
      </c>
      <c r="P336" s="51" t="str">
        <f t="shared" si="193"/>
        <v>31-50</v>
      </c>
      <c r="Q336" s="51">
        <f t="shared" si="194"/>
        <v>5073.1976040297868</v>
      </c>
      <c r="R336" s="49">
        <v>45</v>
      </c>
      <c r="S336" s="49" t="str">
        <f t="shared" si="195"/>
        <v>31-50</v>
      </c>
      <c r="T336" s="49">
        <f t="shared" si="196"/>
        <v>5073.1976040297868</v>
      </c>
      <c r="U336" s="50">
        <v>38</v>
      </c>
      <c r="V336" s="50" t="str">
        <f t="shared" si="197"/>
        <v>31-50</v>
      </c>
      <c r="W336" s="50">
        <f t="shared" si="198"/>
        <v>5073.1976040297868</v>
      </c>
      <c r="X336" s="143">
        <v>17</v>
      </c>
      <c r="Y336" s="143" t="str">
        <f t="shared" si="206"/>
        <v>0-20</v>
      </c>
      <c r="Z336" s="143">
        <f t="shared" si="207"/>
        <v>3844.3574443810608</v>
      </c>
      <c r="AA336" s="116"/>
      <c r="AB336" s="114" t="str">
        <f t="shared" ref="AB336" si="226">VLOOKUP(AA336,$AV$4:$AW$9,2,1)</f>
        <v>0-20</v>
      </c>
      <c r="AC336" s="114">
        <f t="shared" ref="AC336" si="227">VLOOKUP(AB336,$AW$3:$AX$9,2,0)</f>
        <v>3844.3574443810608</v>
      </c>
      <c r="AD336" s="129"/>
      <c r="AE336" s="129" t="str">
        <f t="shared" ref="AE336" si="228">VLOOKUP(AD336,$AV$4:$AW$9,2,1)</f>
        <v>0-20</v>
      </c>
      <c r="AF336" s="129">
        <f t="shared" ref="AF336" si="229">VLOOKUP(AE336,$AW$3:$AX$9,2,0)</f>
        <v>3844.3574443810608</v>
      </c>
      <c r="AG336" s="138">
        <v>80</v>
      </c>
      <c r="AH336" s="138" t="str">
        <f t="shared" si="174"/>
        <v>51-80</v>
      </c>
      <c r="AI336" s="138">
        <f t="shared" si="175"/>
        <v>6509</v>
      </c>
      <c r="AJ336" s="36">
        <v>46</v>
      </c>
      <c r="AK336" s="36" t="str">
        <f t="shared" ref="AK336" si="230">VLOOKUP(AJ336,$AV$3:$AW$9,2,1)</f>
        <v>31-50</v>
      </c>
      <c r="AL336" s="37">
        <f t="shared" ref="AL336" si="231">VLOOKUP(AK336,$AW$3:$AX$9,2,0)</f>
        <v>5073.1976040297868</v>
      </c>
      <c r="AM336" s="79"/>
      <c r="AN336" s="79"/>
      <c r="AO336" s="79"/>
      <c r="AP336" s="136"/>
      <c r="AQ336" s="136"/>
      <c r="AR336" s="136"/>
      <c r="AS336" s="131"/>
      <c r="AT336" s="131"/>
      <c r="AU336" s="4"/>
    </row>
    <row r="337" spans="1:47" s="14" customFormat="1" x14ac:dyDescent="0.25">
      <c r="A337" s="53"/>
      <c r="B337" s="71"/>
      <c r="C337" s="89"/>
      <c r="D337" s="89" t="s">
        <v>1425</v>
      </c>
      <c r="E337" s="89" t="s">
        <v>1426</v>
      </c>
      <c r="F337" s="71" t="s">
        <v>1427</v>
      </c>
      <c r="G337" s="6" t="s">
        <v>1383</v>
      </c>
      <c r="H337" s="33">
        <v>421301</v>
      </c>
      <c r="I337" s="35"/>
      <c r="J337" s="35"/>
      <c r="K337" s="36"/>
      <c r="L337" s="35">
        <v>26</v>
      </c>
      <c r="M337" s="35" t="str">
        <f t="shared" si="191"/>
        <v>21-30</v>
      </c>
      <c r="N337" s="36">
        <f t="shared" si="192"/>
        <v>4508.6394748902885</v>
      </c>
      <c r="O337" s="51">
        <v>62</v>
      </c>
      <c r="P337" s="51" t="str">
        <f t="shared" si="193"/>
        <v>51-80</v>
      </c>
      <c r="Q337" s="51">
        <f t="shared" si="194"/>
        <v>6509</v>
      </c>
      <c r="R337" s="49">
        <v>45</v>
      </c>
      <c r="S337" s="49" t="str">
        <f t="shared" si="195"/>
        <v>31-50</v>
      </c>
      <c r="T337" s="49">
        <f t="shared" si="196"/>
        <v>5073.1976040297868</v>
      </c>
      <c r="U337" s="50">
        <v>38</v>
      </c>
      <c r="V337" s="50" t="str">
        <f t="shared" si="197"/>
        <v>31-50</v>
      </c>
      <c r="W337" s="50">
        <f t="shared" si="198"/>
        <v>5073.1976040297868</v>
      </c>
      <c r="X337" s="143" t="s">
        <v>1458</v>
      </c>
      <c r="Y337" s="143" t="e">
        <f t="shared" si="206"/>
        <v>#N/A</v>
      </c>
      <c r="Z337" s="143" t="e">
        <f t="shared" si="207"/>
        <v>#N/A</v>
      </c>
      <c r="AA337" s="116"/>
      <c r="AB337" s="114" t="str">
        <f t="shared" ref="AB337" si="232">VLOOKUP(AA337,$AV$4:$AW$9,2,1)</f>
        <v>0-20</v>
      </c>
      <c r="AC337" s="114">
        <f t="shared" ref="AC337" si="233">VLOOKUP(AB337,$AW$3:$AX$9,2,0)</f>
        <v>3844.3574443810608</v>
      </c>
      <c r="AD337" s="129"/>
      <c r="AE337" s="129" t="str">
        <f t="shared" ref="AE337" si="234">VLOOKUP(AD337,$AV$4:$AW$9,2,1)</f>
        <v>0-20</v>
      </c>
      <c r="AF337" s="129">
        <f t="shared" ref="AF337" si="235">VLOOKUP(AE337,$AW$3:$AX$9,2,0)</f>
        <v>3844.3574443810608</v>
      </c>
      <c r="AG337" s="138">
        <v>80</v>
      </c>
      <c r="AH337" s="138" t="str">
        <f t="shared" ref="AH337:AH340" si="236">VLOOKUP(AG337,$AV$4:$AW$9,2,1)</f>
        <v>51-80</v>
      </c>
      <c r="AI337" s="138">
        <f t="shared" ref="AI337:AI340" si="237">VLOOKUP(AH337,$AW$3:$AX$9,2,0)</f>
        <v>6509</v>
      </c>
      <c r="AJ337" s="36">
        <v>46</v>
      </c>
      <c r="AK337" s="36" t="str">
        <f t="shared" ref="AK337" si="238">VLOOKUP(AJ337,$AV$3:$AW$9,2,1)</f>
        <v>31-50</v>
      </c>
      <c r="AL337" s="37">
        <f t="shared" ref="AL337" si="239">VLOOKUP(AK337,$AW$3:$AX$9,2,0)</f>
        <v>5073.1976040297868</v>
      </c>
      <c r="AM337" s="79"/>
      <c r="AN337" s="79"/>
      <c r="AO337" s="79"/>
      <c r="AP337" s="136"/>
      <c r="AQ337" s="136"/>
      <c r="AR337" s="136"/>
      <c r="AS337" s="131"/>
      <c r="AT337" s="131"/>
      <c r="AU337" s="4"/>
    </row>
    <row r="338" spans="1:47" s="14" customFormat="1" x14ac:dyDescent="0.25">
      <c r="A338" s="53"/>
      <c r="B338" s="71"/>
      <c r="C338" s="89"/>
      <c r="D338" s="89" t="s">
        <v>1428</v>
      </c>
      <c r="E338" s="89" t="s">
        <v>1429</v>
      </c>
      <c r="F338" s="142" t="s">
        <v>1430</v>
      </c>
      <c r="G338" s="6" t="s">
        <v>1431</v>
      </c>
      <c r="H338" s="33">
        <v>401208</v>
      </c>
      <c r="I338" s="35"/>
      <c r="J338" s="35"/>
      <c r="K338" s="36"/>
      <c r="L338" s="35">
        <v>33</v>
      </c>
      <c r="M338" s="35" t="str">
        <f t="shared" si="191"/>
        <v>31-50</v>
      </c>
      <c r="N338" s="36">
        <f t="shared" si="192"/>
        <v>5073.1976040297868</v>
      </c>
      <c r="O338" s="51">
        <v>18</v>
      </c>
      <c r="P338" s="51" t="str">
        <f t="shared" si="193"/>
        <v>0-20</v>
      </c>
      <c r="Q338" s="51">
        <f t="shared" si="194"/>
        <v>3844.3574443810608</v>
      </c>
      <c r="R338" s="49">
        <v>34</v>
      </c>
      <c r="S338" s="49" t="str">
        <f t="shared" si="195"/>
        <v>31-50</v>
      </c>
      <c r="T338" s="49">
        <f t="shared" si="196"/>
        <v>5073.1976040297868</v>
      </c>
      <c r="U338" s="50">
        <v>45</v>
      </c>
      <c r="V338" s="50" t="str">
        <f t="shared" si="197"/>
        <v>31-50</v>
      </c>
      <c r="W338" s="50">
        <f t="shared" si="198"/>
        <v>5073.1976040297868</v>
      </c>
      <c r="X338" s="143" t="s">
        <v>1458</v>
      </c>
      <c r="Y338" s="143" t="e">
        <f t="shared" si="206"/>
        <v>#N/A</v>
      </c>
      <c r="Z338" s="143" t="e">
        <f t="shared" si="207"/>
        <v>#N/A</v>
      </c>
      <c r="AA338" s="134"/>
      <c r="AB338" s="135"/>
      <c r="AC338" s="135"/>
      <c r="AD338" s="131"/>
      <c r="AE338" s="129"/>
      <c r="AF338" s="129"/>
      <c r="AG338" s="139">
        <v>61</v>
      </c>
      <c r="AH338" s="138" t="str">
        <f t="shared" si="236"/>
        <v>51-80</v>
      </c>
      <c r="AI338" s="138">
        <f t="shared" si="237"/>
        <v>6509</v>
      </c>
      <c r="AJ338" s="36"/>
      <c r="AK338" s="36"/>
      <c r="AL338" s="37"/>
      <c r="AM338" s="79"/>
      <c r="AN338" s="79"/>
      <c r="AO338" s="79"/>
      <c r="AP338" s="136"/>
      <c r="AQ338" s="136"/>
      <c r="AR338" s="136"/>
      <c r="AS338" s="131"/>
      <c r="AT338" s="131"/>
      <c r="AU338" s="4"/>
    </row>
    <row r="339" spans="1:47" s="14" customFormat="1" x14ac:dyDescent="0.25">
      <c r="A339" s="53"/>
      <c r="B339" s="71"/>
      <c r="C339" s="89"/>
      <c r="D339" s="89" t="s">
        <v>1432</v>
      </c>
      <c r="E339" s="89" t="s">
        <v>1433</v>
      </c>
      <c r="F339" s="71" t="s">
        <v>1434</v>
      </c>
      <c r="G339" s="6" t="s">
        <v>1435</v>
      </c>
      <c r="H339" s="33">
        <v>400706</v>
      </c>
      <c r="I339" s="35"/>
      <c r="J339" s="35"/>
      <c r="K339" s="36"/>
      <c r="L339" s="99">
        <v>26</v>
      </c>
      <c r="M339" s="99" t="str">
        <f t="shared" si="191"/>
        <v>21-30</v>
      </c>
      <c r="N339" s="100">
        <f t="shared" si="192"/>
        <v>4508.6394748902885</v>
      </c>
      <c r="O339" s="51">
        <v>64</v>
      </c>
      <c r="P339" s="51" t="str">
        <f t="shared" si="193"/>
        <v>51-80</v>
      </c>
      <c r="Q339" s="51">
        <f t="shared" si="194"/>
        <v>6509</v>
      </c>
      <c r="R339" s="49">
        <v>31</v>
      </c>
      <c r="S339" s="49" t="str">
        <f t="shared" si="195"/>
        <v>31-50</v>
      </c>
      <c r="T339" s="49">
        <f t="shared" si="196"/>
        <v>5073.1976040297868</v>
      </c>
      <c r="U339" s="50">
        <v>21</v>
      </c>
      <c r="V339" s="50" t="str">
        <f t="shared" si="197"/>
        <v>21-30</v>
      </c>
      <c r="W339" s="50">
        <f t="shared" si="198"/>
        <v>4508.6394748902885</v>
      </c>
      <c r="X339" s="143" t="s">
        <v>1458</v>
      </c>
      <c r="Y339" s="143" t="e">
        <f t="shared" si="206"/>
        <v>#N/A</v>
      </c>
      <c r="Z339" s="143" t="e">
        <f t="shared" si="207"/>
        <v>#N/A</v>
      </c>
      <c r="AA339" s="116"/>
      <c r="AB339" s="114" t="str">
        <f t="shared" ref="AB339:AB340" si="240">VLOOKUP(AA339,$AV$4:$AW$9,2,1)</f>
        <v>0-20</v>
      </c>
      <c r="AC339" s="114">
        <f t="shared" ref="AC339:AC340" si="241">VLOOKUP(AB339,$AW$3:$AX$9,2,0)</f>
        <v>3844.3574443810608</v>
      </c>
      <c r="AD339" s="129"/>
      <c r="AE339" s="129" t="str">
        <f t="shared" ref="AE339" si="242">VLOOKUP(AD339,$AV$4:$AW$9,2,1)</f>
        <v>0-20</v>
      </c>
      <c r="AF339" s="129">
        <f t="shared" ref="AF339" si="243">VLOOKUP(AE339,$AW$3:$AX$9,2,0)</f>
        <v>3844.3574443810608</v>
      </c>
      <c r="AG339" s="138">
        <v>108</v>
      </c>
      <c r="AH339" s="138" t="str">
        <f t="shared" si="236"/>
        <v>81-110</v>
      </c>
      <c r="AI339" s="138">
        <f t="shared" si="237"/>
        <v>8747.8561594387575</v>
      </c>
      <c r="AJ339" s="36">
        <v>20</v>
      </c>
      <c r="AK339" s="36" t="str">
        <f t="shared" ref="AK339" si="244">VLOOKUP(AJ339,$AV$3:$AW$9,2,1)</f>
        <v>0-20</v>
      </c>
      <c r="AL339" s="37">
        <f t="shared" ref="AL339" si="245">VLOOKUP(AK339,$AW$3:$AX$9,2,0)</f>
        <v>3844.3574443810608</v>
      </c>
      <c r="AM339" s="84">
        <v>47</v>
      </c>
      <c r="AN339" s="85" t="str">
        <f t="shared" ref="AN339" si="246">VLOOKUP(AM339,$AV$4:$AW$9,2,1)</f>
        <v>31-50</v>
      </c>
      <c r="AO339" s="122">
        <f t="shared" ref="AO339" si="247">VLOOKUP(AN339,$AW$3:$AX$9,2,0)</f>
        <v>5073.1976040297868</v>
      </c>
      <c r="AP339" s="133"/>
      <c r="AQ339" s="133" t="str">
        <f t="shared" ref="AQ339" si="248">VLOOKUP(AP339,$AV$4:$AW$9,2,1)</f>
        <v>0-20</v>
      </c>
      <c r="AR339" s="133">
        <f t="shared" ref="AR339" si="249">VLOOKUP(AQ339,$AW$3:$AX$9,2,0)</f>
        <v>3844.3574443810608</v>
      </c>
      <c r="AS339" s="131"/>
      <c r="AT339" s="131"/>
      <c r="AU339" s="4"/>
    </row>
    <row r="340" spans="1:47" s="14" customFormat="1" x14ac:dyDescent="0.25">
      <c r="A340" s="53"/>
      <c r="B340" s="71"/>
      <c r="C340" s="89"/>
      <c r="D340" s="89" t="s">
        <v>1437</v>
      </c>
      <c r="E340" s="89" t="s">
        <v>1438</v>
      </c>
      <c r="F340" s="71" t="s">
        <v>1436</v>
      </c>
      <c r="G340" s="6" t="s">
        <v>1193</v>
      </c>
      <c r="H340" s="33">
        <v>421301</v>
      </c>
      <c r="I340" s="35"/>
      <c r="J340" s="35"/>
      <c r="K340" s="36"/>
      <c r="L340" s="99">
        <v>29</v>
      </c>
      <c r="M340" s="99" t="str">
        <f t="shared" si="191"/>
        <v>21-30</v>
      </c>
      <c r="N340" s="100">
        <f t="shared" si="192"/>
        <v>4508.6394748902885</v>
      </c>
      <c r="O340" s="51">
        <v>60</v>
      </c>
      <c r="P340" s="51" t="str">
        <f t="shared" si="193"/>
        <v>51-80</v>
      </c>
      <c r="Q340" s="51">
        <f t="shared" si="194"/>
        <v>6509</v>
      </c>
      <c r="R340" s="49">
        <v>49</v>
      </c>
      <c r="S340" s="49" t="str">
        <f t="shared" si="195"/>
        <v>31-50</v>
      </c>
      <c r="T340" s="49">
        <f t="shared" si="196"/>
        <v>5073.1976040297868</v>
      </c>
      <c r="U340" s="50">
        <v>47</v>
      </c>
      <c r="V340" s="50" t="str">
        <f t="shared" si="197"/>
        <v>31-50</v>
      </c>
      <c r="W340" s="50">
        <f t="shared" si="198"/>
        <v>5073.1976040297868</v>
      </c>
      <c r="X340" s="143" t="s">
        <v>1458</v>
      </c>
      <c r="Y340" s="143" t="e">
        <f t="shared" si="206"/>
        <v>#N/A</v>
      </c>
      <c r="Z340" s="143" t="e">
        <f t="shared" si="207"/>
        <v>#N/A</v>
      </c>
      <c r="AA340" s="116"/>
      <c r="AB340" s="114" t="str">
        <f t="shared" si="240"/>
        <v>0-20</v>
      </c>
      <c r="AC340" s="114">
        <f t="shared" si="241"/>
        <v>3844.3574443810608</v>
      </c>
      <c r="AD340" s="129">
        <v>5</v>
      </c>
      <c r="AE340" s="129" t="str">
        <f>VLOOKUP(AD340,$AV$4:$AW$9,2,1)</f>
        <v>0-20</v>
      </c>
      <c r="AF340" s="129">
        <f>VLOOKUP(AE340,$AW$3:$AX$9,2,0)</f>
        <v>3844.3574443810608</v>
      </c>
      <c r="AG340" s="138">
        <v>80</v>
      </c>
      <c r="AH340" s="138" t="str">
        <f t="shared" si="236"/>
        <v>51-80</v>
      </c>
      <c r="AI340" s="138">
        <f t="shared" si="237"/>
        <v>6509</v>
      </c>
      <c r="AJ340" s="36"/>
      <c r="AK340" s="36"/>
      <c r="AL340" s="37"/>
      <c r="AM340" s="79"/>
      <c r="AN340" s="79"/>
      <c r="AO340" s="79"/>
      <c r="AP340" s="136"/>
      <c r="AQ340" s="136"/>
      <c r="AR340" s="136"/>
      <c r="AS340" s="131"/>
      <c r="AT340" s="131"/>
      <c r="AU340" s="4"/>
    </row>
    <row r="341" spans="1:47" s="14" customFormat="1" x14ac:dyDescent="0.25">
      <c r="A341" s="53"/>
      <c r="B341" s="71"/>
      <c r="C341" s="89"/>
      <c r="D341" s="89" t="s">
        <v>1439</v>
      </c>
      <c r="E341" s="89" t="s">
        <v>1440</v>
      </c>
      <c r="F341" s="71" t="s">
        <v>1441</v>
      </c>
      <c r="G341" s="6" t="s">
        <v>480</v>
      </c>
      <c r="H341" s="33">
        <v>400707</v>
      </c>
      <c r="I341" s="35"/>
      <c r="J341" s="35"/>
      <c r="K341" s="36"/>
      <c r="L341" s="35">
        <v>64</v>
      </c>
      <c r="M341" s="35" t="str">
        <f t="shared" si="191"/>
        <v>51-80</v>
      </c>
      <c r="N341" s="36">
        <f t="shared" si="192"/>
        <v>6509</v>
      </c>
      <c r="O341" s="51">
        <v>79</v>
      </c>
      <c r="P341" s="51" t="str">
        <f t="shared" si="193"/>
        <v>51-80</v>
      </c>
      <c r="Q341" s="51">
        <f t="shared" si="194"/>
        <v>6509</v>
      </c>
      <c r="R341" s="49">
        <v>58</v>
      </c>
      <c r="S341" s="49" t="str">
        <f t="shared" si="195"/>
        <v>51-80</v>
      </c>
      <c r="T341" s="49">
        <f t="shared" si="196"/>
        <v>6509</v>
      </c>
      <c r="U341" s="50">
        <v>52</v>
      </c>
      <c r="V341" s="50" t="str">
        <f t="shared" si="197"/>
        <v>51-80</v>
      </c>
      <c r="W341" s="50">
        <f t="shared" si="198"/>
        <v>6509</v>
      </c>
      <c r="X341" s="143" t="s">
        <v>1458</v>
      </c>
      <c r="Y341" s="143" t="e">
        <f t="shared" si="206"/>
        <v>#N/A</v>
      </c>
      <c r="Z341" s="143" t="e">
        <f t="shared" si="207"/>
        <v>#N/A</v>
      </c>
      <c r="AA341" s="134"/>
      <c r="AB341" s="135"/>
      <c r="AC341" s="135"/>
      <c r="AD341" s="131"/>
      <c r="AE341" s="129"/>
      <c r="AF341" s="129"/>
      <c r="AG341" s="139"/>
      <c r="AH341" s="138"/>
      <c r="AI341" s="138"/>
      <c r="AJ341" s="36"/>
      <c r="AK341" s="36"/>
      <c r="AL341" s="37"/>
      <c r="AM341" s="79"/>
      <c r="AN341" s="79"/>
      <c r="AO341" s="79"/>
      <c r="AP341" s="136"/>
      <c r="AQ341" s="136"/>
      <c r="AR341" s="136"/>
      <c r="AS341" s="131"/>
      <c r="AT341" s="131"/>
      <c r="AU341" s="4"/>
    </row>
    <row r="342" spans="1:47" s="14" customFormat="1" x14ac:dyDescent="0.25">
      <c r="A342" s="53"/>
      <c r="B342" s="71"/>
      <c r="C342" s="89"/>
      <c r="D342" s="89" t="s">
        <v>1442</v>
      </c>
      <c r="E342" s="89" t="s">
        <v>1443</v>
      </c>
      <c r="F342" s="71" t="s">
        <v>1444</v>
      </c>
      <c r="G342" s="6" t="s">
        <v>479</v>
      </c>
      <c r="H342" s="33">
        <v>421203</v>
      </c>
      <c r="I342" s="35"/>
      <c r="J342" s="35"/>
      <c r="K342" s="36"/>
      <c r="L342" s="35">
        <v>24</v>
      </c>
      <c r="M342" s="35" t="str">
        <f t="shared" si="191"/>
        <v>21-30</v>
      </c>
      <c r="N342" s="36">
        <f t="shared" si="192"/>
        <v>4508.6394748902885</v>
      </c>
      <c r="O342" s="51">
        <v>54</v>
      </c>
      <c r="P342" s="51" t="str">
        <f t="shared" si="193"/>
        <v>51-80</v>
      </c>
      <c r="Q342" s="51">
        <f t="shared" si="194"/>
        <v>6509</v>
      </c>
      <c r="R342" s="49">
        <v>41</v>
      </c>
      <c r="S342" s="49" t="str">
        <f t="shared" si="195"/>
        <v>31-50</v>
      </c>
      <c r="T342" s="49">
        <f t="shared" si="196"/>
        <v>5073.1976040297868</v>
      </c>
      <c r="U342" s="50">
        <v>39</v>
      </c>
      <c r="V342" s="50" t="str">
        <f t="shared" si="197"/>
        <v>31-50</v>
      </c>
      <c r="W342" s="50">
        <f t="shared" si="198"/>
        <v>5073.1976040297868</v>
      </c>
      <c r="X342" s="143">
        <v>20</v>
      </c>
      <c r="Y342" s="143" t="str">
        <f t="shared" si="206"/>
        <v>0-20</v>
      </c>
      <c r="Z342" s="143">
        <f t="shared" si="207"/>
        <v>3844.3574443810608</v>
      </c>
      <c r="AA342" s="134"/>
      <c r="AB342" s="135"/>
      <c r="AC342" s="135"/>
      <c r="AD342" s="131"/>
      <c r="AE342" s="129"/>
      <c r="AF342" s="129"/>
      <c r="AG342" s="139"/>
      <c r="AH342" s="138"/>
      <c r="AI342" s="138"/>
      <c r="AJ342" s="36"/>
      <c r="AK342" s="36"/>
      <c r="AL342" s="37"/>
      <c r="AM342" s="79"/>
      <c r="AN342" s="79"/>
      <c r="AO342" s="79"/>
      <c r="AP342" s="136"/>
      <c r="AQ342" s="136"/>
      <c r="AR342" s="136"/>
      <c r="AS342" s="131"/>
      <c r="AT342" s="131"/>
      <c r="AU342" s="4"/>
    </row>
    <row r="343" spans="1:47" s="14" customFormat="1" x14ac:dyDescent="0.25">
      <c r="A343" s="53"/>
      <c r="B343" s="71"/>
      <c r="C343" s="89"/>
      <c r="D343" s="89" t="s">
        <v>1447</v>
      </c>
      <c r="E343" s="89" t="s">
        <v>1448</v>
      </c>
      <c r="F343" s="71" t="s">
        <v>1449</v>
      </c>
      <c r="G343" s="6" t="s">
        <v>1450</v>
      </c>
      <c r="H343" s="33">
        <v>421505</v>
      </c>
      <c r="I343" s="35"/>
      <c r="J343" s="35"/>
      <c r="K343" s="36"/>
      <c r="L343" s="35">
        <v>42</v>
      </c>
      <c r="M343" s="35" t="str">
        <f t="shared" si="191"/>
        <v>31-50</v>
      </c>
      <c r="N343" s="36">
        <f t="shared" si="192"/>
        <v>5073.1976040297868</v>
      </c>
      <c r="O343" s="51">
        <v>73</v>
      </c>
      <c r="P343" s="51" t="str">
        <f t="shared" si="193"/>
        <v>51-80</v>
      </c>
      <c r="Q343" s="51">
        <f t="shared" si="194"/>
        <v>6509</v>
      </c>
      <c r="R343" s="49">
        <v>50</v>
      </c>
      <c r="S343" s="49" t="str">
        <f t="shared" si="195"/>
        <v>31-50</v>
      </c>
      <c r="T343" s="49">
        <f t="shared" si="196"/>
        <v>5073.1976040297868</v>
      </c>
      <c r="U343" s="50">
        <v>48</v>
      </c>
      <c r="V343" s="50" t="str">
        <f t="shared" si="197"/>
        <v>31-50</v>
      </c>
      <c r="W343" s="50">
        <f t="shared" si="198"/>
        <v>5073.1976040297868</v>
      </c>
      <c r="X343" s="143">
        <v>27</v>
      </c>
      <c r="Y343" s="143" t="str">
        <f t="shared" si="206"/>
        <v>21-30</v>
      </c>
      <c r="Z343" s="143">
        <f t="shared" si="207"/>
        <v>4508.6394748902885</v>
      </c>
      <c r="AA343" s="134"/>
      <c r="AB343" s="135"/>
      <c r="AC343" s="135"/>
      <c r="AD343" s="131"/>
      <c r="AE343" s="129"/>
      <c r="AF343" s="129"/>
      <c r="AG343" s="139"/>
      <c r="AH343" s="138"/>
      <c r="AI343" s="138"/>
      <c r="AJ343" s="36"/>
      <c r="AK343" s="36"/>
      <c r="AL343" s="37"/>
      <c r="AM343" s="79"/>
      <c r="AN343" s="79"/>
      <c r="AO343" s="79"/>
      <c r="AP343" s="136"/>
      <c r="AQ343" s="136"/>
      <c r="AR343" s="136"/>
      <c r="AS343" s="131"/>
      <c r="AT343" s="131"/>
      <c r="AU343" s="4"/>
    </row>
    <row r="344" spans="1:47" s="14" customFormat="1" x14ac:dyDescent="0.25">
      <c r="A344" s="53"/>
      <c r="B344" s="71"/>
      <c r="C344" s="89"/>
      <c r="D344" s="89" t="s">
        <v>1451</v>
      </c>
      <c r="E344" s="89" t="s">
        <v>1452</v>
      </c>
      <c r="F344" s="71" t="s">
        <v>1453</v>
      </c>
      <c r="G344" s="6" t="s">
        <v>1363</v>
      </c>
      <c r="H344" s="33">
        <v>401305</v>
      </c>
      <c r="I344" s="35"/>
      <c r="J344" s="35"/>
      <c r="K344" s="36"/>
      <c r="L344" s="99">
        <v>48</v>
      </c>
      <c r="M344" s="99" t="str">
        <f t="shared" si="191"/>
        <v>31-50</v>
      </c>
      <c r="N344" s="100">
        <f t="shared" si="192"/>
        <v>5073.1976040297868</v>
      </c>
      <c r="O344" s="51">
        <v>14</v>
      </c>
      <c r="P344" s="51" t="str">
        <f t="shared" si="193"/>
        <v>0-20</v>
      </c>
      <c r="Q344" s="51">
        <f t="shared" si="194"/>
        <v>3844.3574443810608</v>
      </c>
      <c r="R344" s="49">
        <v>49</v>
      </c>
      <c r="S344" s="49" t="str">
        <f t="shared" si="195"/>
        <v>31-50</v>
      </c>
      <c r="T344" s="49">
        <f t="shared" si="196"/>
        <v>5073.1976040297868</v>
      </c>
      <c r="U344" s="50">
        <v>60</v>
      </c>
      <c r="V344" s="50" t="str">
        <f t="shared" si="197"/>
        <v>51-80</v>
      </c>
      <c r="W344" s="50">
        <f t="shared" si="198"/>
        <v>6509</v>
      </c>
      <c r="X344" s="143">
        <v>50</v>
      </c>
      <c r="Y344" s="143" t="str">
        <f t="shared" si="206"/>
        <v>31-50</v>
      </c>
      <c r="Z344" s="143">
        <f t="shared" si="207"/>
        <v>5073.1976040297868</v>
      </c>
      <c r="AA344" s="116"/>
      <c r="AB344" s="114" t="str">
        <f t="shared" ref="AB344" si="250">VLOOKUP(AA344,$AV$4:$AW$9,2,1)</f>
        <v>0-20</v>
      </c>
      <c r="AC344" s="114">
        <f t="shared" ref="AC344" si="251">VLOOKUP(AB344,$AW$3:$AX$9,2,0)</f>
        <v>3844.3574443810608</v>
      </c>
      <c r="AD344" s="129"/>
      <c r="AE344" s="129" t="str">
        <f t="shared" ref="AE344" si="252">VLOOKUP(AD344,$AV$4:$AW$9,2,1)</f>
        <v>0-20</v>
      </c>
      <c r="AF344" s="129">
        <f t="shared" ref="AF344" si="253">VLOOKUP(AE344,$AW$3:$AX$9,2,0)</f>
        <v>3844.3574443810608</v>
      </c>
      <c r="AG344" s="138">
        <v>56</v>
      </c>
      <c r="AH344" s="138" t="str">
        <f t="shared" ref="AH344" si="254">VLOOKUP(AG344,$AV$4:$AW$9,2,1)</f>
        <v>51-80</v>
      </c>
      <c r="AI344" s="138">
        <f t="shared" ref="AI344" si="255">VLOOKUP(AH344,$AW$3:$AX$9,2,0)</f>
        <v>6509</v>
      </c>
      <c r="AJ344" s="36"/>
      <c r="AK344" s="36"/>
      <c r="AL344" s="37"/>
      <c r="AM344" s="79"/>
      <c r="AN344" s="79"/>
      <c r="AO344" s="79"/>
      <c r="AP344" s="136"/>
      <c r="AQ344" s="136"/>
      <c r="AR344" s="136"/>
      <c r="AS344" s="131"/>
      <c r="AT344" s="131"/>
      <c r="AU344" s="4"/>
    </row>
    <row r="345" spans="1:47" s="14" customFormat="1" x14ac:dyDescent="0.25">
      <c r="A345" s="53"/>
      <c r="B345" s="71"/>
      <c r="C345" s="89"/>
      <c r="D345" s="89" t="s">
        <v>1462</v>
      </c>
      <c r="E345" s="9" t="s">
        <v>1463</v>
      </c>
      <c r="F345" s="34" t="s">
        <v>1465</v>
      </c>
      <c r="G345" s="6" t="s">
        <v>1464</v>
      </c>
      <c r="H345" s="33">
        <v>401209</v>
      </c>
      <c r="I345" s="35"/>
      <c r="J345" s="35"/>
      <c r="K345" s="36"/>
      <c r="L345" s="35">
        <v>40</v>
      </c>
      <c r="M345" s="35" t="str">
        <f t="shared" si="191"/>
        <v>31-50</v>
      </c>
      <c r="N345" s="36">
        <f t="shared" si="192"/>
        <v>5073.1976040297868</v>
      </c>
      <c r="O345" s="51">
        <v>12</v>
      </c>
      <c r="P345" s="51" t="str">
        <f t="shared" si="193"/>
        <v>0-20</v>
      </c>
      <c r="Q345" s="51">
        <f t="shared" si="194"/>
        <v>3844.3574443810608</v>
      </c>
      <c r="R345" s="49">
        <v>42</v>
      </c>
      <c r="S345" s="49" t="str">
        <f t="shared" si="195"/>
        <v>31-50</v>
      </c>
      <c r="T345" s="49">
        <f t="shared" si="196"/>
        <v>5073.1976040297868</v>
      </c>
      <c r="U345" s="50">
        <v>53</v>
      </c>
      <c r="V345" s="50" t="str">
        <f t="shared" si="197"/>
        <v>51-80</v>
      </c>
      <c r="W345" s="50">
        <f t="shared" si="198"/>
        <v>6509</v>
      </c>
      <c r="X345" s="143">
        <v>47</v>
      </c>
      <c r="Y345" s="143" t="str">
        <f t="shared" ref="Y345:Y358" si="256">VLOOKUP(X345,$AV$4:$AW$9,2,1)</f>
        <v>31-50</v>
      </c>
      <c r="Z345" s="143">
        <f t="shared" si="207"/>
        <v>5073.1976040297868</v>
      </c>
      <c r="AA345" s="134"/>
      <c r="AB345" s="135"/>
      <c r="AC345" s="135"/>
      <c r="AD345" s="131"/>
      <c r="AE345" s="129"/>
      <c r="AF345" s="129"/>
      <c r="AG345" s="139"/>
      <c r="AH345" s="138"/>
      <c r="AI345" s="138"/>
      <c r="AJ345" s="36"/>
      <c r="AK345" s="36"/>
      <c r="AL345" s="37"/>
      <c r="AM345" s="79"/>
      <c r="AN345" s="79"/>
      <c r="AO345" s="79"/>
      <c r="AP345" s="136"/>
      <c r="AQ345" s="136"/>
      <c r="AR345" s="136"/>
      <c r="AS345" s="131"/>
      <c r="AT345" s="131"/>
      <c r="AU345" s="4"/>
    </row>
    <row r="346" spans="1:47" s="14" customFormat="1" x14ac:dyDescent="0.25">
      <c r="A346" s="53"/>
      <c r="B346" s="71"/>
      <c r="C346" s="89"/>
      <c r="D346" s="89" t="s">
        <v>1466</v>
      </c>
      <c r="E346" s="89" t="s">
        <v>1414</v>
      </c>
      <c r="F346" s="71" t="s">
        <v>1467</v>
      </c>
      <c r="G346" s="6" t="s">
        <v>822</v>
      </c>
      <c r="H346" s="33">
        <v>421301</v>
      </c>
      <c r="I346" s="35"/>
      <c r="J346" s="35"/>
      <c r="K346" s="36"/>
      <c r="L346" s="35">
        <v>30</v>
      </c>
      <c r="M346" s="35" t="str">
        <f t="shared" si="191"/>
        <v>21-30</v>
      </c>
      <c r="N346" s="36">
        <f t="shared" si="192"/>
        <v>4508.6394748902885</v>
      </c>
      <c r="O346" s="51">
        <v>46</v>
      </c>
      <c r="P346" s="51" t="str">
        <f t="shared" si="193"/>
        <v>31-50</v>
      </c>
      <c r="Q346" s="51">
        <f t="shared" si="194"/>
        <v>5073.1976040297868</v>
      </c>
      <c r="R346" s="49">
        <v>44</v>
      </c>
      <c r="S346" s="49" t="str">
        <f t="shared" si="195"/>
        <v>31-50</v>
      </c>
      <c r="T346" s="49">
        <f t="shared" si="196"/>
        <v>5073.1976040297868</v>
      </c>
      <c r="U346" s="50">
        <v>42</v>
      </c>
      <c r="V346" s="50" t="str">
        <f t="shared" si="197"/>
        <v>31-50</v>
      </c>
      <c r="W346" s="50">
        <f t="shared" si="198"/>
        <v>5073.1976040297868</v>
      </c>
      <c r="X346" s="143">
        <v>14</v>
      </c>
      <c r="Y346" s="143" t="str">
        <f t="shared" si="256"/>
        <v>0-20</v>
      </c>
      <c r="Z346" s="143">
        <f t="shared" si="207"/>
        <v>3844.3574443810608</v>
      </c>
      <c r="AA346" s="134"/>
      <c r="AB346" s="135"/>
      <c r="AC346" s="135"/>
      <c r="AD346" s="131"/>
      <c r="AE346" s="129"/>
      <c r="AF346" s="129"/>
      <c r="AG346" s="139"/>
      <c r="AH346" s="138"/>
      <c r="AI346" s="138"/>
      <c r="AJ346" s="36"/>
      <c r="AK346" s="36"/>
      <c r="AL346" s="37"/>
      <c r="AM346" s="79"/>
      <c r="AN346" s="79"/>
      <c r="AO346" s="79"/>
      <c r="AP346" s="136"/>
      <c r="AQ346" s="136"/>
      <c r="AR346" s="136"/>
      <c r="AS346" s="131"/>
      <c r="AT346" s="131"/>
      <c r="AU346" s="4"/>
    </row>
    <row r="347" spans="1:47" s="14" customFormat="1" x14ac:dyDescent="0.25">
      <c r="A347" s="53"/>
      <c r="B347" s="71"/>
      <c r="C347" s="89"/>
      <c r="D347" s="89" t="s">
        <v>1473</v>
      </c>
      <c r="E347" s="89" t="s">
        <v>1474</v>
      </c>
      <c r="F347" s="71" t="s">
        <v>1475</v>
      </c>
      <c r="G347" s="6" t="s">
        <v>693</v>
      </c>
      <c r="H347" s="33">
        <v>421601</v>
      </c>
      <c r="I347" s="35"/>
      <c r="J347" s="35"/>
      <c r="K347" s="36"/>
      <c r="L347" s="35">
        <v>66</v>
      </c>
      <c r="M347" s="35" t="str">
        <f t="shared" si="191"/>
        <v>51-80</v>
      </c>
      <c r="N347" s="36">
        <f t="shared" si="192"/>
        <v>6509</v>
      </c>
      <c r="O347" s="51">
        <v>66</v>
      </c>
      <c r="P347" s="51" t="str">
        <f t="shared" si="193"/>
        <v>51-80</v>
      </c>
      <c r="Q347" s="51">
        <f t="shared" si="194"/>
        <v>6509</v>
      </c>
      <c r="R347" s="49">
        <v>84</v>
      </c>
      <c r="S347" s="49" t="str">
        <f t="shared" si="195"/>
        <v>81-110</v>
      </c>
      <c r="T347" s="49">
        <f t="shared" si="196"/>
        <v>8747.8561594387575</v>
      </c>
      <c r="U347" s="50">
        <v>81</v>
      </c>
      <c r="V347" s="50" t="str">
        <f t="shared" si="197"/>
        <v>81-110</v>
      </c>
      <c r="W347" s="50">
        <f t="shared" si="198"/>
        <v>8747.8561594387575</v>
      </c>
      <c r="X347" s="143">
        <v>40</v>
      </c>
      <c r="Y347" s="143" t="str">
        <f t="shared" si="256"/>
        <v>31-50</v>
      </c>
      <c r="Z347" s="143">
        <f t="shared" si="207"/>
        <v>5073.1976040297868</v>
      </c>
      <c r="AA347" s="134"/>
      <c r="AB347" s="135"/>
      <c r="AC347" s="135"/>
      <c r="AD347" s="131"/>
      <c r="AE347" s="129"/>
      <c r="AF347" s="129"/>
      <c r="AG347" s="139"/>
      <c r="AH347" s="138"/>
      <c r="AI347" s="138"/>
      <c r="AJ347" s="36"/>
      <c r="AK347" s="36"/>
      <c r="AL347" s="37"/>
      <c r="AM347" s="79"/>
      <c r="AN347" s="79"/>
      <c r="AO347" s="79"/>
      <c r="AP347" s="136"/>
      <c r="AQ347" s="136"/>
      <c r="AR347" s="136"/>
      <c r="AS347" s="131"/>
      <c r="AT347" s="131"/>
      <c r="AU347" s="4"/>
    </row>
    <row r="348" spans="1:47" s="14" customFormat="1" x14ac:dyDescent="0.25">
      <c r="A348" s="53"/>
      <c r="B348" s="71"/>
      <c r="C348" s="89"/>
      <c r="D348" s="89" t="s">
        <v>1476</v>
      </c>
      <c r="E348" s="89" t="s">
        <v>1477</v>
      </c>
      <c r="F348" s="71" t="s">
        <v>1478</v>
      </c>
      <c r="G348" s="6" t="s">
        <v>1479</v>
      </c>
      <c r="H348" s="33">
        <v>421204</v>
      </c>
      <c r="I348" s="35"/>
      <c r="J348" s="35"/>
      <c r="K348" s="36"/>
      <c r="L348" s="35">
        <v>23</v>
      </c>
      <c r="M348" s="35" t="str">
        <f t="shared" si="191"/>
        <v>21-30</v>
      </c>
      <c r="N348" s="36">
        <f t="shared" si="192"/>
        <v>4508.6394748902885</v>
      </c>
      <c r="O348" s="51">
        <v>58</v>
      </c>
      <c r="P348" s="51" t="str">
        <f t="shared" si="193"/>
        <v>51-80</v>
      </c>
      <c r="Q348" s="51">
        <f t="shared" si="194"/>
        <v>6509</v>
      </c>
      <c r="R348" s="49">
        <v>39</v>
      </c>
      <c r="S348" s="49" t="str">
        <f t="shared" si="195"/>
        <v>31-50</v>
      </c>
      <c r="T348" s="49">
        <f t="shared" si="196"/>
        <v>5073.1976040297868</v>
      </c>
      <c r="U348" s="50">
        <v>37</v>
      </c>
      <c r="V348" s="50" t="str">
        <f t="shared" si="197"/>
        <v>31-50</v>
      </c>
      <c r="W348" s="50">
        <f t="shared" si="198"/>
        <v>5073.1976040297868</v>
      </c>
      <c r="X348" s="143">
        <v>25</v>
      </c>
      <c r="Y348" s="143" t="str">
        <f t="shared" si="256"/>
        <v>21-30</v>
      </c>
      <c r="Z348" s="143">
        <f t="shared" si="207"/>
        <v>4508.6394748902885</v>
      </c>
      <c r="AA348" s="134"/>
      <c r="AB348" s="135"/>
      <c r="AC348" s="135"/>
      <c r="AD348" s="131"/>
      <c r="AE348" s="129"/>
      <c r="AF348" s="129"/>
      <c r="AG348" s="139"/>
      <c r="AH348" s="138"/>
      <c r="AI348" s="138"/>
      <c r="AJ348" s="36"/>
      <c r="AK348" s="36"/>
      <c r="AL348" s="37"/>
      <c r="AM348" s="79"/>
      <c r="AN348" s="79"/>
      <c r="AO348" s="79"/>
      <c r="AP348" s="136"/>
      <c r="AQ348" s="136"/>
      <c r="AR348" s="136"/>
      <c r="AS348" s="131"/>
      <c r="AT348" s="131"/>
      <c r="AU348" s="4"/>
    </row>
    <row r="349" spans="1:47" s="14" customFormat="1" x14ac:dyDescent="0.25">
      <c r="A349" s="53"/>
      <c r="B349" s="71"/>
      <c r="C349" s="89"/>
      <c r="D349" s="89" t="s">
        <v>1481</v>
      </c>
      <c r="E349" s="89" t="s">
        <v>1482</v>
      </c>
      <c r="F349" s="71" t="s">
        <v>1483</v>
      </c>
      <c r="G349" s="6" t="s">
        <v>1484</v>
      </c>
      <c r="H349" s="33">
        <v>421501</v>
      </c>
      <c r="I349" s="35"/>
      <c r="J349" s="35"/>
      <c r="K349" s="36"/>
      <c r="L349" s="35">
        <v>32</v>
      </c>
      <c r="M349" s="35" t="str">
        <f t="shared" si="191"/>
        <v>31-50</v>
      </c>
      <c r="N349" s="36">
        <f t="shared" si="192"/>
        <v>5073.1976040297868</v>
      </c>
      <c r="O349" s="51">
        <v>51</v>
      </c>
      <c r="P349" s="51" t="str">
        <f t="shared" si="193"/>
        <v>51-80</v>
      </c>
      <c r="Q349" s="51">
        <f t="shared" si="194"/>
        <v>6509</v>
      </c>
      <c r="R349" s="49">
        <v>50</v>
      </c>
      <c r="S349" s="49" t="str">
        <f t="shared" si="195"/>
        <v>31-50</v>
      </c>
      <c r="T349" s="49">
        <f t="shared" si="196"/>
        <v>5073.1976040297868</v>
      </c>
      <c r="U349" s="50">
        <v>47</v>
      </c>
      <c r="V349" s="50" t="str">
        <f t="shared" si="197"/>
        <v>31-50</v>
      </c>
      <c r="W349" s="50">
        <f t="shared" si="198"/>
        <v>5073.1976040297868</v>
      </c>
      <c r="X349" s="143">
        <v>29</v>
      </c>
      <c r="Y349" s="143" t="str">
        <f t="shared" si="256"/>
        <v>21-30</v>
      </c>
      <c r="Z349" s="143">
        <f t="shared" si="207"/>
        <v>4508.6394748902885</v>
      </c>
      <c r="AA349" s="134"/>
      <c r="AB349" s="135"/>
      <c r="AC349" s="135"/>
      <c r="AD349" s="131"/>
      <c r="AE349" s="129"/>
      <c r="AF349" s="129"/>
      <c r="AG349" s="139"/>
      <c r="AH349" s="138"/>
      <c r="AI349" s="138"/>
      <c r="AJ349" s="36"/>
      <c r="AK349" s="36"/>
      <c r="AL349" s="37"/>
      <c r="AM349" s="79"/>
      <c r="AN349" s="79"/>
      <c r="AO349" s="79"/>
      <c r="AP349" s="136"/>
      <c r="AQ349" s="136"/>
      <c r="AR349" s="136"/>
      <c r="AS349" s="131"/>
      <c r="AT349" s="131"/>
      <c r="AU349" s="4"/>
    </row>
    <row r="350" spans="1:47" s="14" customFormat="1" x14ac:dyDescent="0.25">
      <c r="A350" s="53"/>
      <c r="B350" s="71"/>
      <c r="C350" s="89"/>
      <c r="D350" s="89" t="s">
        <v>1485</v>
      </c>
      <c r="E350" s="89" t="s">
        <v>1486</v>
      </c>
      <c r="F350" s="71" t="s">
        <v>1487</v>
      </c>
      <c r="G350" s="6" t="s">
        <v>558</v>
      </c>
      <c r="H350" s="33">
        <v>421101</v>
      </c>
      <c r="I350" s="35"/>
      <c r="J350" s="35"/>
      <c r="K350" s="36"/>
      <c r="L350" s="35">
        <v>35</v>
      </c>
      <c r="M350" s="35" t="str">
        <f t="shared" si="191"/>
        <v>31-50</v>
      </c>
      <c r="N350" s="36">
        <f t="shared" si="192"/>
        <v>5073.1976040297868</v>
      </c>
      <c r="O350" s="51">
        <v>52</v>
      </c>
      <c r="P350" s="51" t="str">
        <f t="shared" si="193"/>
        <v>51-80</v>
      </c>
      <c r="Q350" s="51">
        <f t="shared" si="194"/>
        <v>6509</v>
      </c>
      <c r="R350" s="49">
        <v>52</v>
      </c>
      <c r="S350" s="49" t="str">
        <f t="shared" si="195"/>
        <v>51-80</v>
      </c>
      <c r="T350" s="49">
        <f t="shared" si="196"/>
        <v>6509</v>
      </c>
      <c r="U350" s="50">
        <v>50</v>
      </c>
      <c r="V350" s="50" t="str">
        <f t="shared" si="197"/>
        <v>31-50</v>
      </c>
      <c r="W350" s="50">
        <f t="shared" si="198"/>
        <v>5073.1976040297868</v>
      </c>
      <c r="X350" s="143">
        <v>12</v>
      </c>
      <c r="Y350" s="143" t="str">
        <f t="shared" si="256"/>
        <v>0-20</v>
      </c>
      <c r="Z350" s="143">
        <f t="shared" si="207"/>
        <v>3844.3574443810608</v>
      </c>
      <c r="AA350" s="134"/>
      <c r="AB350" s="135"/>
      <c r="AC350" s="135"/>
      <c r="AD350" s="131"/>
      <c r="AE350" s="129"/>
      <c r="AF350" s="129"/>
      <c r="AG350" s="139"/>
      <c r="AH350" s="138"/>
      <c r="AI350" s="138"/>
      <c r="AJ350" s="36"/>
      <c r="AK350" s="36"/>
      <c r="AL350" s="37"/>
      <c r="AM350" s="79"/>
      <c r="AN350" s="79"/>
      <c r="AO350" s="79"/>
      <c r="AP350" s="136"/>
      <c r="AQ350" s="136"/>
      <c r="AR350" s="136"/>
      <c r="AS350" s="131"/>
      <c r="AT350" s="131"/>
      <c r="AU350" s="4"/>
    </row>
    <row r="351" spans="1:47" s="14" customFormat="1" x14ac:dyDescent="0.25">
      <c r="A351" s="53"/>
      <c r="B351" s="71"/>
      <c r="C351" s="89"/>
      <c r="D351" s="89" t="s">
        <v>1499</v>
      </c>
      <c r="E351" s="89" t="s">
        <v>1500</v>
      </c>
      <c r="F351" s="71" t="s">
        <v>1501</v>
      </c>
      <c r="G351" s="6" t="s">
        <v>666</v>
      </c>
      <c r="H351" s="33">
        <v>400701</v>
      </c>
      <c r="I351" s="35"/>
      <c r="J351" s="35"/>
      <c r="K351" s="36"/>
      <c r="L351" s="35">
        <v>15</v>
      </c>
      <c r="M351" s="35" t="str">
        <f t="shared" si="191"/>
        <v>0-20</v>
      </c>
      <c r="N351" s="36">
        <f t="shared" si="192"/>
        <v>3844.3574443810608</v>
      </c>
      <c r="O351" s="51">
        <v>52</v>
      </c>
      <c r="P351" s="51" t="str">
        <f t="shared" si="193"/>
        <v>51-80</v>
      </c>
      <c r="Q351" s="51">
        <f t="shared" si="194"/>
        <v>6509</v>
      </c>
      <c r="R351" s="49">
        <v>22</v>
      </c>
      <c r="S351" s="49" t="str">
        <f t="shared" si="195"/>
        <v>21-30</v>
      </c>
      <c r="T351" s="49">
        <f t="shared" si="196"/>
        <v>4508.6394748902885</v>
      </c>
      <c r="U351" s="50">
        <v>20</v>
      </c>
      <c r="V351" s="50" t="str">
        <f t="shared" si="197"/>
        <v>0-20</v>
      </c>
      <c r="W351" s="50">
        <f t="shared" si="198"/>
        <v>3844.3574443810608</v>
      </c>
      <c r="X351" s="143">
        <v>35</v>
      </c>
      <c r="Y351" s="143" t="str">
        <f t="shared" si="256"/>
        <v>31-50</v>
      </c>
      <c r="Z351" s="143">
        <f t="shared" si="207"/>
        <v>5073.1976040297868</v>
      </c>
      <c r="AA351" s="134"/>
      <c r="AB351" s="135"/>
      <c r="AC351" s="135"/>
      <c r="AD351" s="131"/>
      <c r="AE351" s="129"/>
      <c r="AF351" s="129"/>
      <c r="AG351" s="139"/>
      <c r="AH351" s="138"/>
      <c r="AI351" s="138"/>
      <c r="AJ351" s="36"/>
      <c r="AK351" s="36"/>
      <c r="AL351" s="37"/>
      <c r="AM351" s="79"/>
      <c r="AN351" s="79"/>
      <c r="AO351" s="79"/>
      <c r="AP351" s="136"/>
      <c r="AQ351" s="136"/>
      <c r="AR351" s="136"/>
      <c r="AS351" s="131"/>
      <c r="AT351" s="131"/>
      <c r="AU351" s="4"/>
    </row>
    <row r="352" spans="1:47" s="14" customFormat="1" x14ac:dyDescent="0.25">
      <c r="A352" s="53"/>
      <c r="B352" s="71"/>
      <c r="C352" s="89"/>
      <c r="D352" s="89" t="s">
        <v>1506</v>
      </c>
      <c r="E352" s="89" t="s">
        <v>1507</v>
      </c>
      <c r="F352" s="71" t="s">
        <v>1508</v>
      </c>
      <c r="G352" s="6" t="s">
        <v>857</v>
      </c>
      <c r="H352" s="33">
        <v>401201</v>
      </c>
      <c r="I352" s="35"/>
      <c r="J352" s="35"/>
      <c r="K352" s="36"/>
      <c r="L352" s="35">
        <v>43</v>
      </c>
      <c r="M352" s="35" t="str">
        <f t="shared" si="191"/>
        <v>31-50</v>
      </c>
      <c r="N352" s="36">
        <f t="shared" si="192"/>
        <v>5073.1976040297868</v>
      </c>
      <c r="O352" s="51">
        <v>24</v>
      </c>
      <c r="P352" s="51" t="str">
        <f t="shared" si="193"/>
        <v>21-30</v>
      </c>
      <c r="Q352" s="51">
        <f t="shared" si="194"/>
        <v>4508.6394748902885</v>
      </c>
      <c r="R352" s="49">
        <v>44</v>
      </c>
      <c r="S352" s="49" t="str">
        <f t="shared" si="195"/>
        <v>31-50</v>
      </c>
      <c r="T352" s="49">
        <f t="shared" si="196"/>
        <v>5073.1976040297868</v>
      </c>
      <c r="U352" s="50">
        <v>51</v>
      </c>
      <c r="V352" s="50" t="str">
        <f t="shared" si="197"/>
        <v>51-80</v>
      </c>
      <c r="W352" s="50">
        <f t="shared" si="198"/>
        <v>6509</v>
      </c>
      <c r="X352" s="143">
        <v>57</v>
      </c>
      <c r="Y352" s="143" t="str">
        <f t="shared" si="256"/>
        <v>51-80</v>
      </c>
      <c r="Z352" s="143">
        <f t="shared" si="207"/>
        <v>6509</v>
      </c>
      <c r="AA352" s="134"/>
      <c r="AB352" s="135"/>
      <c r="AC352" s="135"/>
      <c r="AD352" s="131"/>
      <c r="AE352" s="129"/>
      <c r="AF352" s="129"/>
      <c r="AG352" s="139"/>
      <c r="AH352" s="138"/>
      <c r="AI352" s="138"/>
      <c r="AJ352" s="36"/>
      <c r="AK352" s="36"/>
      <c r="AL352" s="37"/>
      <c r="AM352" s="79"/>
      <c r="AN352" s="79"/>
      <c r="AO352" s="79"/>
      <c r="AP352" s="136"/>
      <c r="AQ352" s="136"/>
      <c r="AR352" s="136"/>
      <c r="AS352" s="131"/>
      <c r="AT352" s="131"/>
      <c r="AU352" s="4"/>
    </row>
    <row r="353" spans="1:47" s="14" customFormat="1" x14ac:dyDescent="0.25">
      <c r="A353" s="53"/>
      <c r="B353" s="71"/>
      <c r="C353" s="89"/>
      <c r="D353" s="89" t="s">
        <v>1509</v>
      </c>
      <c r="E353" s="89" t="s">
        <v>1510</v>
      </c>
      <c r="F353" s="71" t="s">
        <v>1511</v>
      </c>
      <c r="G353" s="6" t="s">
        <v>744</v>
      </c>
      <c r="H353" s="33">
        <v>421401</v>
      </c>
      <c r="I353" s="35"/>
      <c r="J353" s="35"/>
      <c r="K353" s="36"/>
      <c r="L353" s="35">
        <v>67</v>
      </c>
      <c r="M353" s="35" t="str">
        <f t="shared" si="191"/>
        <v>51-80</v>
      </c>
      <c r="N353" s="36">
        <f t="shared" si="192"/>
        <v>6509</v>
      </c>
      <c r="O353" s="51">
        <v>107</v>
      </c>
      <c r="P353" s="51" t="str">
        <f t="shared" si="193"/>
        <v>81-110</v>
      </c>
      <c r="Q353" s="51">
        <f t="shared" si="194"/>
        <v>8747.8561594387575</v>
      </c>
      <c r="R353" s="49">
        <v>83</v>
      </c>
      <c r="S353" s="49" t="str">
        <f t="shared" si="195"/>
        <v>81-110</v>
      </c>
      <c r="T353" s="49">
        <f t="shared" si="196"/>
        <v>8747.8561594387575</v>
      </c>
      <c r="U353" s="50">
        <v>83</v>
      </c>
      <c r="V353" s="50" t="str">
        <f t="shared" si="197"/>
        <v>81-110</v>
      </c>
      <c r="W353" s="50">
        <f t="shared" si="198"/>
        <v>8747.8561594387575</v>
      </c>
      <c r="X353" s="143">
        <v>70</v>
      </c>
      <c r="Y353" s="143" t="str">
        <f t="shared" si="256"/>
        <v>51-80</v>
      </c>
      <c r="Z353" s="143">
        <f t="shared" si="207"/>
        <v>6509</v>
      </c>
      <c r="AA353" s="134"/>
      <c r="AB353" s="135"/>
      <c r="AC353" s="135"/>
      <c r="AD353" s="131"/>
      <c r="AE353" s="129"/>
      <c r="AF353" s="129"/>
      <c r="AG353" s="139"/>
      <c r="AH353" s="138"/>
      <c r="AI353" s="138"/>
      <c r="AJ353" s="36"/>
      <c r="AK353" s="36"/>
      <c r="AL353" s="37"/>
      <c r="AM353" s="79"/>
      <c r="AN353" s="79"/>
      <c r="AO353" s="79"/>
      <c r="AP353" s="136"/>
      <c r="AQ353" s="136"/>
      <c r="AR353" s="136"/>
      <c r="AS353" s="131"/>
      <c r="AT353" s="131"/>
      <c r="AU353" s="4"/>
    </row>
    <row r="354" spans="1:47" s="14" customFormat="1" x14ac:dyDescent="0.25">
      <c r="A354" s="53"/>
      <c r="B354" s="71"/>
      <c r="C354" s="89"/>
      <c r="D354" s="89" t="s">
        <v>1512</v>
      </c>
      <c r="E354" s="89" t="s">
        <v>1513</v>
      </c>
      <c r="F354" s="71" t="s">
        <v>1514</v>
      </c>
      <c r="G354" s="6" t="s">
        <v>1515</v>
      </c>
      <c r="H354" s="33">
        <v>400705</v>
      </c>
      <c r="I354" s="35"/>
      <c r="J354" s="35"/>
      <c r="K354" s="36"/>
      <c r="L354" s="35">
        <v>46</v>
      </c>
      <c r="M354" s="35" t="str">
        <f t="shared" si="191"/>
        <v>31-50</v>
      </c>
      <c r="N354" s="36">
        <f t="shared" si="192"/>
        <v>5073.1976040297868</v>
      </c>
      <c r="O354" s="51">
        <v>85</v>
      </c>
      <c r="P354" s="51" t="str">
        <f t="shared" si="193"/>
        <v>81-110</v>
      </c>
      <c r="Q354" s="51">
        <f t="shared" si="194"/>
        <v>8747.8561594387575</v>
      </c>
      <c r="R354" s="49">
        <v>50</v>
      </c>
      <c r="S354" s="49" t="str">
        <f t="shared" si="195"/>
        <v>31-50</v>
      </c>
      <c r="T354" s="49">
        <f t="shared" si="196"/>
        <v>5073.1976040297868</v>
      </c>
      <c r="U354" s="50">
        <v>42</v>
      </c>
      <c r="V354" s="50" t="str">
        <f t="shared" si="197"/>
        <v>31-50</v>
      </c>
      <c r="W354" s="50">
        <f t="shared" si="198"/>
        <v>5073.1976040297868</v>
      </c>
      <c r="X354" s="143">
        <v>65</v>
      </c>
      <c r="Y354" s="143" t="str">
        <f t="shared" si="256"/>
        <v>51-80</v>
      </c>
      <c r="Z354" s="143">
        <f t="shared" si="207"/>
        <v>6509</v>
      </c>
      <c r="AA354" s="134"/>
      <c r="AB354" s="135"/>
      <c r="AC354" s="135"/>
      <c r="AD354" s="131"/>
      <c r="AE354" s="129"/>
      <c r="AF354" s="129"/>
      <c r="AG354" s="139"/>
      <c r="AH354" s="138"/>
      <c r="AI354" s="138"/>
      <c r="AJ354" s="36"/>
      <c r="AK354" s="36"/>
      <c r="AL354" s="37"/>
      <c r="AM354" s="79"/>
      <c r="AN354" s="79"/>
      <c r="AO354" s="79"/>
      <c r="AP354" s="136"/>
      <c r="AQ354" s="136"/>
      <c r="AR354" s="136"/>
      <c r="AS354" s="131"/>
      <c r="AT354" s="131"/>
      <c r="AU354" s="4"/>
    </row>
    <row r="355" spans="1:47" s="14" customFormat="1" x14ac:dyDescent="0.25">
      <c r="A355" s="53"/>
      <c r="B355" s="71"/>
      <c r="C355" s="89"/>
      <c r="D355" s="89" t="s">
        <v>1518</v>
      </c>
      <c r="E355" s="89" t="s">
        <v>1519</v>
      </c>
      <c r="F355" s="71" t="s">
        <v>1520</v>
      </c>
      <c r="G355" s="6" t="s">
        <v>525</v>
      </c>
      <c r="H355" s="33">
        <v>400703</v>
      </c>
      <c r="I355" s="35"/>
      <c r="J355" s="35"/>
      <c r="K355" s="36"/>
      <c r="L355" s="35">
        <v>20</v>
      </c>
      <c r="M355" s="35" t="str">
        <f t="shared" si="191"/>
        <v>0-20</v>
      </c>
      <c r="N355" s="36">
        <f t="shared" si="192"/>
        <v>3844.3574443810608</v>
      </c>
      <c r="O355" s="51">
        <v>58</v>
      </c>
      <c r="P355" s="51" t="str">
        <f t="shared" si="193"/>
        <v>51-80</v>
      </c>
      <c r="Q355" s="51">
        <f t="shared" si="194"/>
        <v>6509</v>
      </c>
      <c r="R355" s="49">
        <v>28</v>
      </c>
      <c r="S355" s="49" t="str">
        <f t="shared" si="195"/>
        <v>21-30</v>
      </c>
      <c r="T355" s="49">
        <f t="shared" si="196"/>
        <v>4508.6394748902885</v>
      </c>
      <c r="U355" s="50">
        <v>20</v>
      </c>
      <c r="V355" s="50" t="str">
        <f t="shared" si="197"/>
        <v>0-20</v>
      </c>
      <c r="W355" s="50">
        <f t="shared" si="198"/>
        <v>3844.3574443810608</v>
      </c>
      <c r="X355" s="143">
        <v>39</v>
      </c>
      <c r="Y355" s="143" t="str">
        <f t="shared" si="256"/>
        <v>31-50</v>
      </c>
      <c r="Z355" s="143">
        <f t="shared" si="207"/>
        <v>5073.1976040297868</v>
      </c>
      <c r="AA355" s="134"/>
      <c r="AB355" s="135"/>
      <c r="AC355" s="135"/>
      <c r="AD355" s="131"/>
      <c r="AE355" s="129"/>
      <c r="AF355" s="129"/>
      <c r="AG355" s="139"/>
      <c r="AH355" s="138"/>
      <c r="AI355" s="138"/>
      <c r="AJ355" s="36"/>
      <c r="AK355" s="36"/>
      <c r="AL355" s="37"/>
      <c r="AM355" s="79"/>
      <c r="AN355" s="79"/>
      <c r="AO355" s="79"/>
      <c r="AP355" s="136"/>
      <c r="AQ355" s="136"/>
      <c r="AR355" s="136"/>
      <c r="AS355" s="131"/>
      <c r="AT355" s="131"/>
      <c r="AU355" s="4"/>
    </row>
    <row r="356" spans="1:47" s="14" customFormat="1" x14ac:dyDescent="0.25">
      <c r="A356" s="53"/>
      <c r="B356" s="71"/>
      <c r="C356" s="89"/>
      <c r="D356" s="89" t="s">
        <v>1521</v>
      </c>
      <c r="E356" s="89" t="s">
        <v>1522</v>
      </c>
      <c r="F356" s="71" t="s">
        <v>1523</v>
      </c>
      <c r="G356" s="6" t="s">
        <v>1286</v>
      </c>
      <c r="H356" s="33">
        <v>400702</v>
      </c>
      <c r="I356" s="35"/>
      <c r="J356" s="35"/>
      <c r="K356" s="36"/>
      <c r="L356" s="35">
        <v>50</v>
      </c>
      <c r="M356" s="35" t="str">
        <f t="shared" si="191"/>
        <v>31-50</v>
      </c>
      <c r="N356" s="36">
        <f t="shared" si="192"/>
        <v>5073.1976040297868</v>
      </c>
      <c r="O356" s="51">
        <v>89</v>
      </c>
      <c r="P356" s="51" t="str">
        <f t="shared" si="193"/>
        <v>81-110</v>
      </c>
      <c r="Q356" s="51">
        <f t="shared" si="194"/>
        <v>8747.8561594387575</v>
      </c>
      <c r="R356" s="49">
        <v>56</v>
      </c>
      <c r="S356" s="49" t="str">
        <f t="shared" si="195"/>
        <v>51-80</v>
      </c>
      <c r="T356" s="49">
        <f t="shared" si="196"/>
        <v>6509</v>
      </c>
      <c r="U356" s="50">
        <v>49</v>
      </c>
      <c r="V356" s="50" t="str">
        <f t="shared" si="197"/>
        <v>31-50</v>
      </c>
      <c r="W356" s="50">
        <f t="shared" si="198"/>
        <v>5073.1976040297868</v>
      </c>
      <c r="X356" s="143">
        <v>72</v>
      </c>
      <c r="Y356" s="143" t="str">
        <f t="shared" si="256"/>
        <v>51-80</v>
      </c>
      <c r="Z356" s="143">
        <f t="shared" si="207"/>
        <v>6509</v>
      </c>
      <c r="AA356" s="134"/>
      <c r="AB356" s="135"/>
      <c r="AC356" s="135"/>
      <c r="AD356" s="131"/>
      <c r="AE356" s="129"/>
      <c r="AF356" s="129"/>
      <c r="AG356" s="139"/>
      <c r="AH356" s="138"/>
      <c r="AI356" s="138"/>
      <c r="AJ356" s="36"/>
      <c r="AK356" s="36"/>
      <c r="AL356" s="37"/>
      <c r="AM356" s="79"/>
      <c r="AN356" s="79"/>
      <c r="AO356" s="79"/>
      <c r="AP356" s="136"/>
      <c r="AQ356" s="136"/>
      <c r="AR356" s="136"/>
      <c r="AS356" s="131"/>
      <c r="AT356" s="131"/>
      <c r="AU356" s="4"/>
    </row>
    <row r="357" spans="1:47" s="14" customFormat="1" x14ac:dyDescent="0.25">
      <c r="A357" s="53"/>
      <c r="B357" s="71"/>
      <c r="C357" s="89"/>
      <c r="D357" s="89" t="s">
        <v>1525</v>
      </c>
      <c r="E357" s="89" t="s">
        <v>1526</v>
      </c>
      <c r="F357" s="71" t="s">
        <v>1527</v>
      </c>
      <c r="G357" s="6" t="s">
        <v>1</v>
      </c>
      <c r="H357" s="33">
        <v>421302</v>
      </c>
      <c r="I357" s="35"/>
      <c r="J357" s="35"/>
      <c r="K357" s="36"/>
      <c r="L357" s="35">
        <v>10</v>
      </c>
      <c r="M357" s="35" t="str">
        <f t="shared" si="191"/>
        <v>0-20</v>
      </c>
      <c r="N357" s="36">
        <f t="shared" si="192"/>
        <v>3844.3574443810608</v>
      </c>
      <c r="O357" s="51">
        <v>44</v>
      </c>
      <c r="P357" s="51" t="str">
        <f t="shared" si="193"/>
        <v>31-50</v>
      </c>
      <c r="Q357" s="51">
        <f t="shared" si="194"/>
        <v>5073.1976040297868</v>
      </c>
      <c r="R357" s="49">
        <v>28</v>
      </c>
      <c r="S357" s="49" t="str">
        <f t="shared" si="195"/>
        <v>21-30</v>
      </c>
      <c r="T357" s="49">
        <f t="shared" si="196"/>
        <v>4508.6394748902885</v>
      </c>
      <c r="U357" s="50">
        <v>28</v>
      </c>
      <c r="V357" s="50" t="str">
        <f t="shared" si="197"/>
        <v>21-30</v>
      </c>
      <c r="W357" s="50">
        <f t="shared" si="198"/>
        <v>4508.6394748902885</v>
      </c>
      <c r="X357" s="143">
        <v>25</v>
      </c>
      <c r="Y357" s="143" t="str">
        <f t="shared" si="256"/>
        <v>21-30</v>
      </c>
      <c r="Z357" s="143">
        <f t="shared" si="207"/>
        <v>4508.6394748902885</v>
      </c>
      <c r="AA357" s="134"/>
      <c r="AB357" s="135"/>
      <c r="AC357" s="135"/>
      <c r="AD357" s="131"/>
      <c r="AE357" s="129"/>
      <c r="AF357" s="129"/>
      <c r="AG357" s="139"/>
      <c r="AH357" s="138"/>
      <c r="AI357" s="138"/>
      <c r="AJ357" s="36"/>
      <c r="AK357" s="36"/>
      <c r="AL357" s="37"/>
      <c r="AM357" s="79"/>
      <c r="AN357" s="79"/>
      <c r="AO357" s="79"/>
      <c r="AP357" s="136"/>
      <c r="AQ357" s="136"/>
      <c r="AR357" s="136"/>
      <c r="AS357" s="131"/>
      <c r="AT357" s="131"/>
      <c r="AU357" s="4"/>
    </row>
    <row r="358" spans="1:47" s="14" customFormat="1" x14ac:dyDescent="0.25">
      <c r="A358" s="53"/>
      <c r="B358" s="71"/>
      <c r="C358" s="89"/>
      <c r="D358" s="89" t="s">
        <v>1528</v>
      </c>
      <c r="E358" s="89" t="s">
        <v>1529</v>
      </c>
      <c r="F358" s="71" t="s">
        <v>1530</v>
      </c>
      <c r="G358" s="6" t="s">
        <v>533</v>
      </c>
      <c r="H358" s="33">
        <v>410203</v>
      </c>
      <c r="I358" s="35"/>
      <c r="J358" s="35"/>
      <c r="K358" s="36"/>
      <c r="L358" s="35">
        <v>70</v>
      </c>
      <c r="M358" s="35" t="str">
        <f t="shared" si="191"/>
        <v>51-80</v>
      </c>
      <c r="N358" s="36">
        <f t="shared" si="192"/>
        <v>6509</v>
      </c>
      <c r="O358" s="51">
        <v>109</v>
      </c>
      <c r="P358" s="51" t="str">
        <f t="shared" si="193"/>
        <v>81-110</v>
      </c>
      <c r="Q358" s="51">
        <f t="shared" si="194"/>
        <v>8747.8561594387575</v>
      </c>
      <c r="R358" s="49">
        <v>75</v>
      </c>
      <c r="S358" s="49" t="str">
        <f t="shared" si="195"/>
        <v>51-80</v>
      </c>
      <c r="T358" s="49">
        <f t="shared" si="196"/>
        <v>6509</v>
      </c>
      <c r="U358" s="50">
        <v>66</v>
      </c>
      <c r="V358" s="50" t="str">
        <f t="shared" si="197"/>
        <v>51-80</v>
      </c>
      <c r="W358" s="50">
        <f t="shared" si="198"/>
        <v>6509</v>
      </c>
      <c r="X358" s="143">
        <v>83</v>
      </c>
      <c r="Y358" s="143" t="str">
        <f t="shared" si="256"/>
        <v>81-110</v>
      </c>
      <c r="Z358" s="143">
        <f t="shared" si="207"/>
        <v>8747.8561594387575</v>
      </c>
      <c r="AA358" s="134"/>
      <c r="AB358" s="135"/>
      <c r="AC358" s="135"/>
      <c r="AD358" s="131"/>
      <c r="AE358" s="129"/>
      <c r="AF358" s="129"/>
      <c r="AG358" s="139"/>
      <c r="AH358" s="138"/>
      <c r="AI358" s="138"/>
      <c r="AJ358" s="36"/>
      <c r="AK358" s="36"/>
      <c r="AL358" s="37"/>
      <c r="AM358" s="79"/>
      <c r="AN358" s="79"/>
      <c r="AO358" s="79"/>
      <c r="AP358" s="136"/>
      <c r="AQ358" s="136"/>
      <c r="AR358" s="136"/>
      <c r="AS358" s="131"/>
      <c r="AT358" s="131"/>
      <c r="AU358" s="4"/>
    </row>
    <row r="359" spans="1:47" s="14" customFormat="1" x14ac:dyDescent="0.25">
      <c r="A359" s="53"/>
      <c r="B359" s="71"/>
      <c r="C359" s="89"/>
      <c r="D359" s="89"/>
      <c r="E359" s="89"/>
      <c r="F359" s="71"/>
      <c r="G359" s="6"/>
      <c r="H359" s="33"/>
      <c r="I359" s="35"/>
      <c r="J359" s="35"/>
      <c r="K359" s="36"/>
      <c r="L359" s="35"/>
      <c r="M359" s="35"/>
      <c r="N359" s="36"/>
      <c r="O359" s="51"/>
      <c r="P359" s="51"/>
      <c r="Q359" s="51"/>
      <c r="R359" s="49"/>
      <c r="S359" s="49"/>
      <c r="T359" s="49"/>
      <c r="U359" s="50"/>
      <c r="V359" s="50"/>
      <c r="W359" s="50"/>
      <c r="X359" s="143"/>
      <c r="Y359" s="143"/>
      <c r="Z359" s="143"/>
      <c r="AA359" s="134"/>
      <c r="AB359" s="135"/>
      <c r="AC359" s="135"/>
      <c r="AD359" s="131"/>
      <c r="AE359" s="129"/>
      <c r="AF359" s="129"/>
      <c r="AG359" s="139"/>
      <c r="AH359" s="138"/>
      <c r="AI359" s="138"/>
      <c r="AJ359" s="36"/>
      <c r="AK359" s="36"/>
      <c r="AL359" s="37"/>
      <c r="AM359" s="79"/>
      <c r="AN359" s="79"/>
      <c r="AO359" s="79"/>
      <c r="AP359" s="136"/>
      <c r="AQ359" s="136"/>
      <c r="AR359" s="136"/>
      <c r="AS359" s="131"/>
      <c r="AT359" s="131"/>
      <c r="AU359" s="4"/>
    </row>
    <row r="360" spans="1:47" s="14" customFormat="1" x14ac:dyDescent="0.25">
      <c r="A360" s="53"/>
      <c r="B360" s="71"/>
      <c r="C360" s="89"/>
      <c r="D360" s="89"/>
      <c r="E360" s="89"/>
      <c r="F360" s="71"/>
      <c r="G360" s="6"/>
      <c r="H360" s="33"/>
      <c r="I360" s="35"/>
      <c r="J360" s="35"/>
      <c r="K360" s="36"/>
      <c r="L360" s="35"/>
      <c r="M360" s="35"/>
      <c r="N360" s="36"/>
      <c r="O360" s="51"/>
      <c r="P360" s="51"/>
      <c r="Q360" s="51"/>
      <c r="R360" s="49"/>
      <c r="S360" s="49"/>
      <c r="T360" s="49"/>
      <c r="U360" s="50"/>
      <c r="V360" s="50"/>
      <c r="W360" s="50"/>
      <c r="X360" s="143"/>
      <c r="Y360" s="143"/>
      <c r="Z360" s="143"/>
      <c r="AA360" s="134"/>
      <c r="AB360" s="135"/>
      <c r="AC360" s="135"/>
      <c r="AD360" s="131"/>
      <c r="AE360" s="129"/>
      <c r="AF360" s="129"/>
      <c r="AG360" s="139"/>
      <c r="AH360" s="138"/>
      <c r="AI360" s="138"/>
      <c r="AJ360" s="36"/>
      <c r="AK360" s="36"/>
      <c r="AL360" s="37"/>
      <c r="AM360" s="79"/>
      <c r="AN360" s="79"/>
      <c r="AO360" s="79"/>
      <c r="AP360" s="136"/>
      <c r="AQ360" s="136"/>
      <c r="AR360" s="136"/>
      <c r="AS360" s="131"/>
      <c r="AT360" s="131"/>
      <c r="AU360" s="4"/>
    </row>
    <row r="361" spans="1:47" s="14" customFormat="1" x14ac:dyDescent="0.25">
      <c r="A361" s="53"/>
      <c r="B361" s="71"/>
      <c r="C361" s="89"/>
      <c r="D361" s="89"/>
      <c r="E361" s="89"/>
      <c r="F361" s="71"/>
      <c r="G361" s="6"/>
      <c r="H361" s="33"/>
      <c r="I361" s="35"/>
      <c r="J361" s="35"/>
      <c r="K361" s="36"/>
      <c r="L361" s="35"/>
      <c r="M361" s="35"/>
      <c r="N361" s="36"/>
      <c r="O361" s="51"/>
      <c r="P361" s="51"/>
      <c r="Q361" s="51"/>
      <c r="R361" s="49"/>
      <c r="S361" s="49"/>
      <c r="T361" s="49"/>
      <c r="U361" s="50"/>
      <c r="V361" s="50"/>
      <c r="W361" s="50"/>
      <c r="X361" s="143"/>
      <c r="Y361" s="143"/>
      <c r="Z361" s="143"/>
      <c r="AA361" s="134"/>
      <c r="AB361" s="135"/>
      <c r="AC361" s="135"/>
      <c r="AD361" s="131"/>
      <c r="AE361" s="129"/>
      <c r="AF361" s="129"/>
      <c r="AG361" s="139"/>
      <c r="AH361" s="138"/>
      <c r="AI361" s="138"/>
      <c r="AJ361" s="36"/>
      <c r="AK361" s="36"/>
      <c r="AL361" s="37"/>
      <c r="AM361" s="79"/>
      <c r="AN361" s="79"/>
      <c r="AO361" s="79"/>
      <c r="AP361" s="136"/>
      <c r="AQ361" s="136"/>
      <c r="AR361" s="136"/>
      <c r="AS361" s="131"/>
      <c r="AT361" s="131"/>
      <c r="AU361" s="4"/>
    </row>
    <row r="362" spans="1:47" s="14" customFormat="1" x14ac:dyDescent="0.25">
      <c r="A362" s="53"/>
      <c r="B362" s="71"/>
      <c r="C362" s="89"/>
      <c r="D362" s="89"/>
      <c r="E362" s="89"/>
      <c r="F362" s="71"/>
      <c r="G362" s="6"/>
      <c r="H362" s="33"/>
      <c r="I362" s="35"/>
      <c r="J362" s="35"/>
      <c r="K362" s="36"/>
      <c r="L362" s="35"/>
      <c r="M362" s="35"/>
      <c r="N362" s="36"/>
      <c r="O362" s="51"/>
      <c r="P362" s="51"/>
      <c r="Q362" s="51"/>
      <c r="R362" s="49"/>
      <c r="S362" s="49"/>
      <c r="T362" s="49"/>
      <c r="U362" s="50"/>
      <c r="V362" s="50"/>
      <c r="W362" s="50"/>
      <c r="X362" s="143"/>
      <c r="Y362" s="143"/>
      <c r="Z362" s="143"/>
      <c r="AA362" s="134"/>
      <c r="AB362" s="135"/>
      <c r="AC362" s="135"/>
      <c r="AD362" s="131"/>
      <c r="AE362" s="129"/>
      <c r="AF362" s="129"/>
      <c r="AG362" s="139"/>
      <c r="AH362" s="138"/>
      <c r="AI362" s="138"/>
      <c r="AJ362" s="36"/>
      <c r="AK362" s="36"/>
      <c r="AL362" s="37"/>
      <c r="AM362" s="79"/>
      <c r="AN362" s="79"/>
      <c r="AO362" s="79"/>
      <c r="AP362" s="136"/>
      <c r="AQ362" s="136"/>
      <c r="AR362" s="136"/>
      <c r="AS362" s="131"/>
      <c r="AT362" s="131"/>
      <c r="AU362" s="4"/>
    </row>
    <row r="363" spans="1:47" s="14" customFormat="1" x14ac:dyDescent="0.25">
      <c r="A363" s="53"/>
      <c r="B363" s="71"/>
      <c r="C363" s="89"/>
      <c r="D363" s="89"/>
      <c r="E363" s="89"/>
      <c r="F363" s="71"/>
      <c r="G363" s="6"/>
      <c r="H363" s="33"/>
      <c r="I363" s="35"/>
      <c r="J363" s="35"/>
      <c r="K363" s="36"/>
      <c r="L363" s="35"/>
      <c r="M363" s="35"/>
      <c r="N363" s="36"/>
      <c r="O363" s="51"/>
      <c r="P363" s="51"/>
      <c r="Q363" s="51"/>
      <c r="R363" s="49"/>
      <c r="S363" s="49"/>
      <c r="T363" s="49"/>
      <c r="U363" s="50"/>
      <c r="V363" s="50"/>
      <c r="W363" s="50"/>
      <c r="X363" s="143"/>
      <c r="Y363" s="143"/>
      <c r="Z363" s="143"/>
      <c r="AA363" s="134"/>
      <c r="AB363" s="135"/>
      <c r="AC363" s="135"/>
      <c r="AD363" s="131"/>
      <c r="AE363" s="129"/>
      <c r="AF363" s="129"/>
      <c r="AG363" s="139"/>
      <c r="AH363" s="138"/>
      <c r="AI363" s="138"/>
      <c r="AJ363" s="36"/>
      <c r="AK363" s="36"/>
      <c r="AL363" s="37"/>
      <c r="AM363" s="79"/>
      <c r="AN363" s="79"/>
      <c r="AO363" s="79"/>
      <c r="AP363" s="136"/>
      <c r="AQ363" s="136"/>
      <c r="AR363" s="136"/>
      <c r="AS363" s="131"/>
      <c r="AT363" s="131"/>
      <c r="AU363" s="4"/>
    </row>
    <row r="364" spans="1:47" s="14" customFormat="1" x14ac:dyDescent="0.25">
      <c r="A364" s="53"/>
      <c r="B364" s="71"/>
      <c r="C364" s="89"/>
      <c r="D364" s="89"/>
      <c r="E364" s="89"/>
      <c r="F364" s="71"/>
      <c r="G364" s="6"/>
      <c r="H364" s="33"/>
      <c r="I364" s="35"/>
      <c r="J364" s="35"/>
      <c r="K364" s="36"/>
      <c r="L364" s="35"/>
      <c r="M364" s="35"/>
      <c r="N364" s="36"/>
      <c r="O364" s="51"/>
      <c r="P364" s="51"/>
      <c r="Q364" s="51"/>
      <c r="R364" s="49"/>
      <c r="S364" s="49"/>
      <c r="T364" s="49"/>
      <c r="U364" s="50"/>
      <c r="V364" s="50"/>
      <c r="W364" s="50"/>
      <c r="X364" s="143"/>
      <c r="Y364" s="143"/>
      <c r="Z364" s="143"/>
      <c r="AA364" s="134"/>
      <c r="AB364" s="135"/>
      <c r="AC364" s="135"/>
      <c r="AD364" s="131"/>
      <c r="AE364" s="129"/>
      <c r="AF364" s="129"/>
      <c r="AG364" s="139"/>
      <c r="AH364" s="138"/>
      <c r="AI364" s="138"/>
      <c r="AJ364" s="36"/>
      <c r="AK364" s="36"/>
      <c r="AL364" s="37"/>
      <c r="AM364" s="79"/>
      <c r="AN364" s="79"/>
      <c r="AO364" s="79"/>
      <c r="AP364" s="136"/>
      <c r="AQ364" s="136"/>
      <c r="AR364" s="136"/>
      <c r="AS364" s="131"/>
      <c r="AT364" s="131"/>
      <c r="AU364" s="4"/>
    </row>
    <row r="365" spans="1:47" s="14" customFormat="1" x14ac:dyDescent="0.25">
      <c r="A365" s="53"/>
      <c r="B365" s="71"/>
      <c r="C365" s="89"/>
      <c r="D365" s="89"/>
      <c r="E365" s="89"/>
      <c r="F365" s="71"/>
      <c r="G365" s="6"/>
      <c r="H365" s="33"/>
      <c r="I365" s="35"/>
      <c r="J365" s="35"/>
      <c r="K365" s="36"/>
      <c r="L365" s="35"/>
      <c r="M365" s="35"/>
      <c r="N365" s="36"/>
      <c r="O365" s="51"/>
      <c r="P365" s="51"/>
      <c r="Q365" s="51"/>
      <c r="R365" s="49"/>
      <c r="S365" s="49"/>
      <c r="T365" s="49"/>
      <c r="U365" s="50"/>
      <c r="V365" s="50"/>
      <c r="W365" s="50"/>
      <c r="X365" s="143"/>
      <c r="Y365" s="143"/>
      <c r="Z365" s="143"/>
      <c r="AA365" s="134"/>
      <c r="AB365" s="135"/>
      <c r="AC365" s="135"/>
      <c r="AD365" s="131"/>
      <c r="AE365" s="129"/>
      <c r="AF365" s="129"/>
      <c r="AG365" s="139"/>
      <c r="AH365" s="138"/>
      <c r="AI365" s="138"/>
      <c r="AJ365" s="36"/>
      <c r="AK365" s="36"/>
      <c r="AL365" s="37"/>
      <c r="AM365" s="79"/>
      <c r="AN365" s="79"/>
      <c r="AO365" s="79"/>
      <c r="AP365" s="136"/>
      <c r="AQ365" s="136"/>
      <c r="AR365" s="136"/>
      <c r="AS365" s="131"/>
      <c r="AT365" s="131"/>
      <c r="AU365" s="4"/>
    </row>
    <row r="366" spans="1:47" s="14" customFormat="1" x14ac:dyDescent="0.25">
      <c r="A366" s="53"/>
      <c r="B366" s="71"/>
      <c r="C366" s="89"/>
      <c r="D366" s="89"/>
      <c r="E366" s="89"/>
      <c r="F366" s="71"/>
      <c r="G366" s="6"/>
      <c r="H366" s="33"/>
      <c r="I366" s="35"/>
      <c r="J366" s="35"/>
      <c r="K366" s="36"/>
      <c r="L366" s="35"/>
      <c r="M366" s="35"/>
      <c r="N366" s="36"/>
      <c r="O366" s="51"/>
      <c r="P366" s="51"/>
      <c r="Q366" s="51"/>
      <c r="R366" s="49"/>
      <c r="S366" s="49"/>
      <c r="T366" s="49"/>
      <c r="U366" s="50"/>
      <c r="V366" s="50"/>
      <c r="W366" s="50"/>
      <c r="X366" s="143"/>
      <c r="Y366" s="143"/>
      <c r="Z366" s="143"/>
      <c r="AA366" s="134"/>
      <c r="AB366" s="135"/>
      <c r="AC366" s="135"/>
      <c r="AD366" s="131"/>
      <c r="AE366" s="129"/>
      <c r="AF366" s="129"/>
      <c r="AG366" s="139"/>
      <c r="AH366" s="138"/>
      <c r="AI366" s="138"/>
      <c r="AJ366" s="36"/>
      <c r="AK366" s="36"/>
      <c r="AL366" s="37"/>
      <c r="AM366" s="79"/>
      <c r="AN366" s="79"/>
      <c r="AO366" s="79"/>
      <c r="AP366" s="136"/>
      <c r="AQ366" s="136"/>
      <c r="AR366" s="136"/>
      <c r="AS366" s="131"/>
      <c r="AT366" s="131"/>
      <c r="AU366" s="4"/>
    </row>
    <row r="367" spans="1:47" s="14" customFormat="1" x14ac:dyDescent="0.25">
      <c r="A367" s="53"/>
      <c r="B367" s="71"/>
      <c r="C367" s="89"/>
      <c r="D367" s="89"/>
      <c r="E367" s="89"/>
      <c r="F367" s="71"/>
      <c r="G367" s="6"/>
      <c r="H367" s="33"/>
      <c r="I367" s="35"/>
      <c r="J367" s="35"/>
      <c r="K367" s="36"/>
      <c r="L367" s="35"/>
      <c r="M367" s="35"/>
      <c r="N367" s="36"/>
      <c r="O367" s="51"/>
      <c r="P367" s="51"/>
      <c r="Q367" s="51"/>
      <c r="R367" s="49"/>
      <c r="S367" s="49"/>
      <c r="T367" s="49"/>
      <c r="U367" s="50"/>
      <c r="V367" s="50"/>
      <c r="W367" s="50"/>
      <c r="X367" s="143"/>
      <c r="Y367" s="143"/>
      <c r="Z367" s="143"/>
      <c r="AA367" s="134"/>
      <c r="AB367" s="135"/>
      <c r="AC367" s="135"/>
      <c r="AD367" s="131"/>
      <c r="AE367" s="129"/>
      <c r="AF367" s="129"/>
      <c r="AG367" s="139"/>
      <c r="AH367" s="138"/>
      <c r="AI367" s="138"/>
      <c r="AJ367" s="36"/>
      <c r="AK367" s="36"/>
      <c r="AL367" s="37"/>
      <c r="AM367" s="79"/>
      <c r="AN367" s="79"/>
      <c r="AO367" s="79"/>
      <c r="AP367" s="136"/>
      <c r="AQ367" s="136"/>
      <c r="AR367" s="136"/>
      <c r="AS367" s="131"/>
      <c r="AT367" s="131"/>
      <c r="AU367" s="4"/>
    </row>
    <row r="368" spans="1:47" s="14" customFormat="1" x14ac:dyDescent="0.25">
      <c r="A368" s="53"/>
      <c r="B368" s="71"/>
      <c r="C368" s="89"/>
      <c r="D368" s="89"/>
      <c r="E368" s="89"/>
      <c r="F368" s="71"/>
      <c r="G368" s="6"/>
      <c r="H368" s="33"/>
      <c r="I368" s="35"/>
      <c r="J368" s="35"/>
      <c r="K368" s="36"/>
      <c r="L368" s="35"/>
      <c r="M368" s="35"/>
      <c r="N368" s="36"/>
      <c r="O368" s="51"/>
      <c r="P368" s="51"/>
      <c r="Q368" s="51"/>
      <c r="R368" s="49"/>
      <c r="S368" s="49"/>
      <c r="T368" s="49"/>
      <c r="U368" s="50"/>
      <c r="V368" s="50"/>
      <c r="W368" s="50"/>
      <c r="X368" s="143"/>
      <c r="Y368" s="143"/>
      <c r="Z368" s="143"/>
      <c r="AA368" s="134"/>
      <c r="AB368" s="135"/>
      <c r="AC368" s="135"/>
      <c r="AD368" s="131"/>
      <c r="AE368" s="129"/>
      <c r="AF368" s="129"/>
      <c r="AG368" s="139"/>
      <c r="AH368" s="138"/>
      <c r="AI368" s="138"/>
      <c r="AJ368" s="36"/>
      <c r="AK368" s="36"/>
      <c r="AL368" s="37"/>
      <c r="AM368" s="79"/>
      <c r="AN368" s="79"/>
      <c r="AO368" s="79"/>
      <c r="AP368" s="136"/>
      <c r="AQ368" s="136"/>
      <c r="AR368" s="136"/>
      <c r="AS368" s="131"/>
      <c r="AT368" s="131"/>
      <c r="AU368" s="4"/>
    </row>
    <row r="369" spans="1:47" s="14" customFormat="1" x14ac:dyDescent="0.25">
      <c r="A369" s="53"/>
      <c r="B369" s="71"/>
      <c r="C369" s="89"/>
      <c r="D369" s="89"/>
      <c r="E369" s="89"/>
      <c r="F369" s="71"/>
      <c r="G369" s="6"/>
      <c r="H369" s="33"/>
      <c r="I369" s="35"/>
      <c r="J369" s="35"/>
      <c r="K369" s="36"/>
      <c r="L369" s="35"/>
      <c r="M369" s="35"/>
      <c r="N369" s="36"/>
      <c r="O369" s="51"/>
      <c r="P369" s="51"/>
      <c r="Q369" s="51"/>
      <c r="R369" s="49"/>
      <c r="S369" s="49"/>
      <c r="T369" s="49"/>
      <c r="U369" s="50"/>
      <c r="V369" s="50"/>
      <c r="W369" s="50"/>
      <c r="X369" s="143"/>
      <c r="Y369" s="143"/>
      <c r="Z369" s="143"/>
      <c r="AA369" s="134"/>
      <c r="AB369" s="135"/>
      <c r="AC369" s="135"/>
      <c r="AD369" s="131"/>
      <c r="AE369" s="129"/>
      <c r="AF369" s="129"/>
      <c r="AG369" s="139"/>
      <c r="AH369" s="138"/>
      <c r="AI369" s="138"/>
      <c r="AJ369" s="36"/>
      <c r="AK369" s="36"/>
      <c r="AL369" s="37"/>
      <c r="AM369" s="79"/>
      <c r="AN369" s="79"/>
      <c r="AO369" s="79"/>
      <c r="AP369" s="136"/>
      <c r="AQ369" s="136"/>
      <c r="AR369" s="136"/>
      <c r="AS369" s="131"/>
      <c r="AT369" s="131"/>
      <c r="AU369" s="4"/>
    </row>
    <row r="370" spans="1:47" s="14" customFormat="1" x14ac:dyDescent="0.25">
      <c r="A370" s="53"/>
      <c r="B370" s="71"/>
      <c r="C370" s="89"/>
      <c r="D370" s="89"/>
      <c r="E370" s="89"/>
      <c r="F370" s="71"/>
      <c r="G370" s="6"/>
      <c r="H370" s="33"/>
      <c r="I370" s="35"/>
      <c r="J370" s="35"/>
      <c r="K370" s="36"/>
      <c r="L370" s="35"/>
      <c r="M370" s="35"/>
      <c r="N370" s="36"/>
      <c r="O370" s="51"/>
      <c r="P370" s="51"/>
      <c r="Q370" s="51"/>
      <c r="R370" s="49"/>
      <c r="S370" s="49"/>
      <c r="T370" s="49"/>
      <c r="U370" s="50"/>
      <c r="V370" s="50"/>
      <c r="W370" s="50"/>
      <c r="X370" s="143"/>
      <c r="Y370" s="143"/>
      <c r="Z370" s="143"/>
      <c r="AA370" s="134"/>
      <c r="AB370" s="135"/>
      <c r="AC370" s="135"/>
      <c r="AD370" s="131"/>
      <c r="AE370" s="129"/>
      <c r="AF370" s="129"/>
      <c r="AG370" s="139"/>
      <c r="AH370" s="138"/>
      <c r="AI370" s="138"/>
      <c r="AJ370" s="36"/>
      <c r="AK370" s="36"/>
      <c r="AL370" s="37"/>
      <c r="AM370" s="79"/>
      <c r="AN370" s="79"/>
      <c r="AO370" s="79"/>
      <c r="AP370" s="136"/>
      <c r="AQ370" s="136"/>
      <c r="AR370" s="136"/>
      <c r="AS370" s="131"/>
      <c r="AT370" s="131"/>
      <c r="AU370" s="4"/>
    </row>
    <row r="371" spans="1:47" s="14" customFormat="1" x14ac:dyDescent="0.25">
      <c r="A371" s="53"/>
      <c r="B371" s="71"/>
      <c r="C371" s="89"/>
      <c r="D371" s="89"/>
      <c r="E371" s="89"/>
      <c r="F371" s="71"/>
      <c r="G371" s="6"/>
      <c r="H371" s="33"/>
      <c r="I371" s="35"/>
      <c r="J371" s="35"/>
      <c r="K371" s="36"/>
      <c r="L371" s="35"/>
      <c r="M371" s="35"/>
      <c r="N371" s="36"/>
      <c r="O371" s="51"/>
      <c r="P371" s="51"/>
      <c r="Q371" s="51"/>
      <c r="R371" s="49"/>
      <c r="S371" s="49"/>
      <c r="T371" s="49"/>
      <c r="U371" s="50"/>
      <c r="V371" s="50"/>
      <c r="W371" s="50"/>
      <c r="X371" s="143"/>
      <c r="Y371" s="143"/>
      <c r="Z371" s="143"/>
      <c r="AA371" s="134"/>
      <c r="AB371" s="135"/>
      <c r="AC371" s="135"/>
      <c r="AD371" s="131"/>
      <c r="AE371" s="129"/>
      <c r="AF371" s="129"/>
      <c r="AG371" s="139"/>
      <c r="AH371" s="138"/>
      <c r="AI371" s="138"/>
      <c r="AJ371" s="36"/>
      <c r="AK371" s="36"/>
      <c r="AL371" s="37"/>
      <c r="AM371" s="79"/>
      <c r="AN371" s="79"/>
      <c r="AO371" s="79"/>
      <c r="AP371" s="136"/>
      <c r="AQ371" s="136"/>
      <c r="AR371" s="136"/>
      <c r="AS371" s="131"/>
      <c r="AT371" s="131"/>
      <c r="AU371" s="4"/>
    </row>
    <row r="372" spans="1:47" s="14" customFormat="1" x14ac:dyDescent="0.25">
      <c r="A372" s="53"/>
      <c r="B372" s="71"/>
      <c r="C372" s="89"/>
      <c r="D372" s="89"/>
      <c r="E372" s="89"/>
      <c r="F372" s="71"/>
      <c r="G372" s="6"/>
      <c r="H372" s="33"/>
      <c r="I372" s="35"/>
      <c r="J372" s="35"/>
      <c r="K372" s="36"/>
      <c r="L372" s="35"/>
      <c r="M372" s="35"/>
      <c r="N372" s="36"/>
      <c r="O372" s="51"/>
      <c r="P372" s="51"/>
      <c r="Q372" s="51"/>
      <c r="R372" s="49"/>
      <c r="S372" s="49"/>
      <c r="T372" s="49"/>
      <c r="U372" s="50"/>
      <c r="V372" s="50"/>
      <c r="W372" s="50"/>
      <c r="X372" s="143"/>
      <c r="Y372" s="143"/>
      <c r="Z372" s="143"/>
      <c r="AA372" s="134"/>
      <c r="AB372" s="135"/>
      <c r="AC372" s="135"/>
      <c r="AD372" s="131"/>
      <c r="AE372" s="129"/>
      <c r="AF372" s="129"/>
      <c r="AG372" s="139"/>
      <c r="AH372" s="138"/>
      <c r="AI372" s="138"/>
      <c r="AJ372" s="36"/>
      <c r="AK372" s="36"/>
      <c r="AL372" s="37"/>
      <c r="AM372" s="79"/>
      <c r="AN372" s="79"/>
      <c r="AO372" s="79"/>
      <c r="AP372" s="136"/>
      <c r="AQ372" s="136"/>
      <c r="AR372" s="136"/>
      <c r="AS372" s="131"/>
      <c r="AT372" s="131"/>
      <c r="AU372" s="4"/>
    </row>
    <row r="373" spans="1:47" s="14" customFormat="1" x14ac:dyDescent="0.25">
      <c r="A373" s="53"/>
      <c r="B373" s="71"/>
      <c r="C373" s="89"/>
      <c r="D373" s="89"/>
      <c r="E373" s="89"/>
      <c r="F373" s="71"/>
      <c r="G373" s="6"/>
      <c r="H373" s="33"/>
      <c r="I373" s="35"/>
      <c r="J373" s="35"/>
      <c r="K373" s="36"/>
      <c r="L373" s="35"/>
      <c r="M373" s="35"/>
      <c r="N373" s="36"/>
      <c r="O373" s="51"/>
      <c r="P373" s="51"/>
      <c r="Q373" s="51"/>
      <c r="R373" s="49"/>
      <c r="S373" s="49"/>
      <c r="T373" s="49"/>
      <c r="U373" s="50"/>
      <c r="V373" s="50"/>
      <c r="W373" s="50"/>
      <c r="X373" s="143"/>
      <c r="Y373" s="143"/>
      <c r="Z373" s="143"/>
      <c r="AA373" s="134"/>
      <c r="AB373" s="135"/>
      <c r="AC373" s="135"/>
      <c r="AD373" s="131"/>
      <c r="AE373" s="129"/>
      <c r="AF373" s="129"/>
      <c r="AG373" s="139"/>
      <c r="AH373" s="138"/>
      <c r="AI373" s="138"/>
      <c r="AJ373" s="36"/>
      <c r="AK373" s="36"/>
      <c r="AL373" s="37"/>
      <c r="AM373" s="79"/>
      <c r="AN373" s="79"/>
      <c r="AO373" s="79"/>
      <c r="AP373" s="136"/>
      <c r="AQ373" s="136"/>
      <c r="AR373" s="136"/>
      <c r="AS373" s="131"/>
      <c r="AT373" s="131"/>
      <c r="AU373" s="4"/>
    </row>
    <row r="374" spans="1:47" s="14" customFormat="1" x14ac:dyDescent="0.25">
      <c r="A374" s="53"/>
      <c r="B374" s="15" t="s">
        <v>4</v>
      </c>
      <c r="C374" s="140"/>
      <c r="D374" s="140" t="s">
        <v>1307</v>
      </c>
      <c r="E374" s="140" t="s">
        <v>534</v>
      </c>
      <c r="F374" s="71" t="s">
        <v>1308</v>
      </c>
      <c r="G374" s="6" t="s">
        <v>545</v>
      </c>
      <c r="H374" s="33">
        <v>400088</v>
      </c>
      <c r="I374" s="90"/>
      <c r="J374" s="90" t="str">
        <f>VLOOKUP(I374,$AV$4:$AW$9,2,1)</f>
        <v>0-20</v>
      </c>
      <c r="K374" s="91">
        <f>VLOOKUP(J374,$AW$3:$AX$9,2,0)</f>
        <v>3844.3574443810608</v>
      </c>
      <c r="L374" s="35"/>
      <c r="M374" s="35" t="str">
        <f>VLOOKUP(L374,$AV$4:$AW$9,2,1)</f>
        <v>0-20</v>
      </c>
      <c r="N374" s="36">
        <f>VLOOKUP(M374,$AW$3:$AX$9,2,0)</f>
        <v>3844.3574443810608</v>
      </c>
      <c r="O374" s="51"/>
      <c r="P374" s="51" t="str">
        <f>VLOOKUP(O374,$AV$3:$AW$9,2,1)</f>
        <v>0-20</v>
      </c>
      <c r="Q374" s="51">
        <f>VLOOKUP(P374,$AW$3:$AX$9,2,0)</f>
        <v>3844.3574443810608</v>
      </c>
      <c r="R374" s="49"/>
      <c r="S374" s="49" t="str">
        <f>VLOOKUP(R374,$AV$3:$AW$9,2,1)</f>
        <v>0-20</v>
      </c>
      <c r="T374" s="49">
        <f>VLOOKUP(S374,$AW$3:$AX$9,2,0)</f>
        <v>3844.3574443810608</v>
      </c>
      <c r="U374" s="50"/>
      <c r="V374" s="50" t="str">
        <f>VLOOKUP(U374,$AV$3:$AW$9,2,1)</f>
        <v>0-20</v>
      </c>
      <c r="W374" s="50">
        <f>VLOOKUP(V374,$AW$3:$AX$9,2,0)</f>
        <v>3844.3574443810608</v>
      </c>
      <c r="X374" s="143">
        <v>50</v>
      </c>
      <c r="Y374" s="143" t="str">
        <f t="shared" ref="Y374:Y384" si="257">VLOOKUP(X374,$AV$4:$AW$9,2,1)</f>
        <v>31-50</v>
      </c>
      <c r="Z374" s="143">
        <f t="shared" ref="Z374:Z384" si="258">VLOOKUP(Y374,$AW$3:$AX$9,2,0)</f>
        <v>5073.1976040297868</v>
      </c>
      <c r="AA374" s="134"/>
      <c r="AB374" s="135"/>
      <c r="AC374" s="135"/>
      <c r="AD374" s="131"/>
      <c r="AE374" s="129" t="str">
        <f>VLOOKUP(AD374,$AV$4:$AW$9,2,1)</f>
        <v>0-20</v>
      </c>
      <c r="AF374" s="129">
        <f>VLOOKUP(AE374,$AW$3:$AX$9,2,0)</f>
        <v>3844.3574443810608</v>
      </c>
      <c r="AG374" s="139">
        <v>110</v>
      </c>
      <c r="AH374" s="138" t="str">
        <f>VLOOKUP(AG374,$AV$4:$AW$9,2,1)</f>
        <v>110-130</v>
      </c>
      <c r="AI374" s="138">
        <f>VLOOKUP(AH374,$AW$3:$AX$9,2,0)</f>
        <v>10159.810450732197</v>
      </c>
      <c r="AJ374" s="36"/>
      <c r="AK374" s="36"/>
      <c r="AL374" s="37"/>
      <c r="AM374" s="79"/>
      <c r="AN374" s="79"/>
      <c r="AO374" s="79"/>
      <c r="AP374" s="136"/>
      <c r="AQ374" s="136"/>
      <c r="AR374" s="136"/>
      <c r="AS374" s="131"/>
      <c r="AT374" s="131"/>
      <c r="AU374" s="4"/>
    </row>
    <row r="375" spans="1:47" s="14" customFormat="1" x14ac:dyDescent="0.25">
      <c r="A375" s="53"/>
      <c r="B375" s="15" t="s">
        <v>4</v>
      </c>
      <c r="C375" s="140"/>
      <c r="D375" s="140" t="s">
        <v>1316</v>
      </c>
      <c r="E375" s="140" t="s">
        <v>1317</v>
      </c>
      <c r="F375" s="71" t="s">
        <v>1318</v>
      </c>
      <c r="G375" s="6" t="s">
        <v>1319</v>
      </c>
      <c r="H375" s="33">
        <v>400088</v>
      </c>
      <c r="I375" s="90"/>
      <c r="J375" s="90" t="str">
        <f>VLOOKUP(I375,$AV$4:$AW$9,2,1)</f>
        <v>0-20</v>
      </c>
      <c r="K375" s="91">
        <f>VLOOKUP(J375,$AW$3:$AX$9,2,0)</f>
        <v>3844.3574443810608</v>
      </c>
      <c r="L375" s="35"/>
      <c r="M375" s="35" t="str">
        <f>VLOOKUP(L375,$AV$4:$AW$9,2,1)</f>
        <v>0-20</v>
      </c>
      <c r="N375" s="36">
        <f>VLOOKUP(M375,$AW$3:$AX$9,2,0)</f>
        <v>3844.3574443810608</v>
      </c>
      <c r="O375" s="51"/>
      <c r="P375" s="51" t="str">
        <f>VLOOKUP(O375,$AV$3:$AW$9,2,1)</f>
        <v>0-20</v>
      </c>
      <c r="Q375" s="51">
        <f>VLOOKUP(P375,$AW$3:$AX$9,2,0)</f>
        <v>3844.3574443810608</v>
      </c>
      <c r="R375" s="49"/>
      <c r="S375" s="49" t="str">
        <f>VLOOKUP(R375,$AV$3:$AW$9,2,1)</f>
        <v>0-20</v>
      </c>
      <c r="T375" s="49">
        <f>VLOOKUP(S375,$AW$3:$AX$9,2,0)</f>
        <v>3844.3574443810608</v>
      </c>
      <c r="U375" s="50"/>
      <c r="V375" s="50" t="str">
        <f>VLOOKUP(U375,$AV$3:$AW$9,2,1)</f>
        <v>0-20</v>
      </c>
      <c r="W375" s="50">
        <f>VLOOKUP(V375,$AW$3:$AX$9,2,0)</f>
        <v>3844.3574443810608</v>
      </c>
      <c r="X375" s="143" t="s">
        <v>1458</v>
      </c>
      <c r="Y375" s="143" t="e">
        <f t="shared" si="257"/>
        <v>#N/A</v>
      </c>
      <c r="Z375" s="143" t="e">
        <f t="shared" si="258"/>
        <v>#N/A</v>
      </c>
      <c r="AA375" s="134"/>
      <c r="AB375" s="135"/>
      <c r="AC375" s="135"/>
      <c r="AD375" s="131"/>
      <c r="AE375" s="129" t="str">
        <f>VLOOKUP(AD375,$AV$4:$AW$9,2,1)</f>
        <v>0-20</v>
      </c>
      <c r="AF375" s="129">
        <f>VLOOKUP(AE375,$AW$3:$AX$9,2,0)</f>
        <v>3844.3574443810608</v>
      </c>
      <c r="AG375" s="139">
        <v>110</v>
      </c>
      <c r="AH375" s="138" t="str">
        <f>VLOOKUP(AG375,$AV$4:$AW$9,2,1)</f>
        <v>110-130</v>
      </c>
      <c r="AI375" s="138">
        <f>VLOOKUP(AH375,$AW$3:$AX$9,2,0)</f>
        <v>10159.810450732197</v>
      </c>
      <c r="AJ375" s="36"/>
      <c r="AK375" s="36"/>
      <c r="AL375" s="37"/>
      <c r="AM375" s="79"/>
      <c r="AN375" s="79"/>
      <c r="AO375" s="79"/>
      <c r="AP375" s="136"/>
      <c r="AQ375" s="136"/>
      <c r="AR375" s="136"/>
      <c r="AS375" s="131"/>
      <c r="AT375" s="131"/>
      <c r="AU375" s="4"/>
    </row>
    <row r="376" spans="1:47" s="14" customFormat="1" x14ac:dyDescent="0.25">
      <c r="A376" s="53"/>
      <c r="B376" s="15" t="s">
        <v>4</v>
      </c>
      <c r="C376" s="140"/>
      <c r="D376" s="140" t="s">
        <v>1309</v>
      </c>
      <c r="E376" s="140" t="s">
        <v>1310</v>
      </c>
      <c r="F376" s="71" t="s">
        <v>1312</v>
      </c>
      <c r="G376" s="6" t="s">
        <v>1311</v>
      </c>
      <c r="H376" s="33">
        <v>400033</v>
      </c>
      <c r="I376" s="90"/>
      <c r="J376" s="90" t="str">
        <f>VLOOKUP(I376,$AV$4:$AW$9,2,1)</f>
        <v>0-20</v>
      </c>
      <c r="K376" s="91">
        <f>VLOOKUP(J376,$AW$3:$AX$9,2,0)</f>
        <v>3844.3574443810608</v>
      </c>
      <c r="L376" s="35"/>
      <c r="M376" s="35" t="str">
        <f>VLOOKUP(L376,$AV$4:$AW$9,2,1)</f>
        <v>0-20</v>
      </c>
      <c r="N376" s="36">
        <f>VLOOKUP(M376,$AW$3:$AX$9,2,0)</f>
        <v>3844.3574443810608</v>
      </c>
      <c r="O376" s="51"/>
      <c r="P376" s="51" t="str">
        <f>VLOOKUP(O376,$AV$3:$AW$9,2,1)</f>
        <v>0-20</v>
      </c>
      <c r="Q376" s="51">
        <f>VLOOKUP(P376,$AW$3:$AX$9,2,0)</f>
        <v>3844.3574443810608</v>
      </c>
      <c r="R376" s="49"/>
      <c r="S376" s="49" t="str">
        <f>VLOOKUP(R376,$AV$3:$AW$9,2,1)</f>
        <v>0-20</v>
      </c>
      <c r="T376" s="49">
        <f>VLOOKUP(S376,$AW$3:$AX$9,2,0)</f>
        <v>3844.3574443810608</v>
      </c>
      <c r="U376" s="50"/>
      <c r="V376" s="50" t="str">
        <f>VLOOKUP(U376,$AV$3:$AW$9,2,1)</f>
        <v>0-20</v>
      </c>
      <c r="W376" s="50">
        <f>VLOOKUP(V376,$AW$3:$AX$9,2,0)</f>
        <v>3844.3574443810608</v>
      </c>
      <c r="X376" s="143" t="s">
        <v>1458</v>
      </c>
      <c r="Y376" s="143" t="e">
        <f t="shared" si="257"/>
        <v>#N/A</v>
      </c>
      <c r="Z376" s="143" t="e">
        <f t="shared" si="258"/>
        <v>#N/A</v>
      </c>
      <c r="AA376" s="134"/>
      <c r="AB376" s="135"/>
      <c r="AC376" s="135"/>
      <c r="AD376" s="131"/>
      <c r="AE376" s="129" t="str">
        <f>VLOOKUP(AD376,$AV$4:$AW$9,2,1)</f>
        <v>0-20</v>
      </c>
      <c r="AF376" s="129">
        <f>VLOOKUP(AE376,$AW$3:$AX$9,2,0)</f>
        <v>3844.3574443810608</v>
      </c>
      <c r="AG376" s="139">
        <v>113</v>
      </c>
      <c r="AH376" s="138" t="str">
        <f>VLOOKUP(AG376,$AV$4:$AW$9,2,1)</f>
        <v>110-130</v>
      </c>
      <c r="AI376" s="138">
        <f>VLOOKUP(AH376,$AW$3:$AX$9,2,0)</f>
        <v>10159.810450732197</v>
      </c>
      <c r="AJ376" s="36"/>
      <c r="AK376" s="36"/>
      <c r="AL376" s="37"/>
      <c r="AM376" s="79"/>
      <c r="AN376" s="79"/>
      <c r="AO376" s="79"/>
      <c r="AP376" s="136"/>
      <c r="AQ376" s="136"/>
      <c r="AR376" s="136"/>
      <c r="AS376" s="131"/>
      <c r="AT376" s="131"/>
      <c r="AU376" s="4"/>
    </row>
    <row r="377" spans="1:47" s="14" customFormat="1" x14ac:dyDescent="0.25">
      <c r="A377" s="53"/>
      <c r="B377" s="15" t="s">
        <v>4</v>
      </c>
      <c r="C377" s="140"/>
      <c r="D377" s="140" t="s">
        <v>1345</v>
      </c>
      <c r="E377" s="140" t="s">
        <v>1346</v>
      </c>
      <c r="F377" s="71" t="s">
        <v>1347</v>
      </c>
      <c r="G377" s="6" t="s">
        <v>1348</v>
      </c>
      <c r="H377" s="33">
        <v>400002</v>
      </c>
      <c r="I377" s="90"/>
      <c r="J377" s="90" t="str">
        <f>VLOOKUP(I377,$AV$4:$AW$9,2,1)</f>
        <v>0-20</v>
      </c>
      <c r="K377" s="91">
        <f>VLOOKUP(J377,$AW$3:$AX$9,2,0)</f>
        <v>3844.3574443810608</v>
      </c>
      <c r="L377" s="35"/>
      <c r="M377" s="35" t="str">
        <f>VLOOKUP(L377,$AV$4:$AW$9,2,1)</f>
        <v>0-20</v>
      </c>
      <c r="N377" s="36">
        <f>VLOOKUP(M377,$AW$3:$AX$9,2,0)</f>
        <v>3844.3574443810608</v>
      </c>
      <c r="O377" s="51"/>
      <c r="P377" s="51" t="str">
        <f>VLOOKUP(O377,$AV$3:$AW$9,2,1)</f>
        <v>0-20</v>
      </c>
      <c r="Q377" s="51">
        <f>VLOOKUP(P377,$AW$3:$AX$9,2,0)</f>
        <v>3844.3574443810608</v>
      </c>
      <c r="R377" s="49"/>
      <c r="S377" s="49" t="str">
        <f>VLOOKUP(R377,$AV$3:$AW$9,2,1)</f>
        <v>0-20</v>
      </c>
      <c r="T377" s="49">
        <f>VLOOKUP(S377,$AW$3:$AX$9,2,0)</f>
        <v>3844.3574443810608</v>
      </c>
      <c r="U377" s="50"/>
      <c r="V377" s="50" t="str">
        <f>VLOOKUP(U377,$AV$3:$AW$9,2,1)</f>
        <v>0-20</v>
      </c>
      <c r="W377" s="50">
        <f>VLOOKUP(V377,$AW$3:$AX$9,2,0)</f>
        <v>3844.3574443810608</v>
      </c>
      <c r="X377" s="143" t="s">
        <v>1458</v>
      </c>
      <c r="Y377" s="143" t="e">
        <f t="shared" si="257"/>
        <v>#N/A</v>
      </c>
      <c r="Z377" s="143" t="e">
        <f t="shared" si="258"/>
        <v>#N/A</v>
      </c>
      <c r="AA377" s="134"/>
      <c r="AB377" s="135"/>
      <c r="AC377" s="135"/>
      <c r="AD377" s="131"/>
      <c r="AE377" s="129"/>
      <c r="AF377" s="129"/>
      <c r="AG377" s="139">
        <v>115</v>
      </c>
      <c r="AH377" s="138" t="str">
        <f t="shared" ref="AH377:AH378" si="259">VLOOKUP(AG377,$AV$4:$AW$9,2,1)</f>
        <v>110-130</v>
      </c>
      <c r="AI377" s="138">
        <f t="shared" ref="AI377:AI378" si="260">VLOOKUP(AH377,$AW$3:$AX$9,2,0)</f>
        <v>10159.810450732197</v>
      </c>
      <c r="AJ377" s="36"/>
      <c r="AK377" s="36"/>
      <c r="AL377" s="37"/>
      <c r="AM377" s="79"/>
      <c r="AN377" s="79"/>
      <c r="AO377" s="79"/>
      <c r="AP377" s="136"/>
      <c r="AQ377" s="136"/>
      <c r="AR377" s="136"/>
      <c r="AS377" s="131"/>
      <c r="AT377" s="131"/>
      <c r="AU377" s="4"/>
    </row>
    <row r="378" spans="1:47" s="14" customFormat="1" x14ac:dyDescent="0.25">
      <c r="A378" s="53"/>
      <c r="B378" s="15" t="s">
        <v>4</v>
      </c>
      <c r="C378" s="140"/>
      <c r="D378" s="140" t="s">
        <v>1365</v>
      </c>
      <c r="E378" s="140" t="s">
        <v>1366</v>
      </c>
      <c r="F378" s="71" t="s">
        <v>1367</v>
      </c>
      <c r="G378" s="6" t="s">
        <v>537</v>
      </c>
      <c r="H378" s="33">
        <v>400089</v>
      </c>
      <c r="I378" s="90"/>
      <c r="J378" s="90"/>
      <c r="K378" s="91"/>
      <c r="L378" s="35"/>
      <c r="M378" s="35"/>
      <c r="N378" s="36"/>
      <c r="O378" s="51"/>
      <c r="P378" s="51"/>
      <c r="Q378" s="51"/>
      <c r="R378" s="49"/>
      <c r="S378" s="49"/>
      <c r="T378" s="49"/>
      <c r="U378" s="50"/>
      <c r="V378" s="50"/>
      <c r="W378" s="50"/>
      <c r="X378" s="143" t="s">
        <v>1458</v>
      </c>
      <c r="Y378" s="143" t="e">
        <f t="shared" si="257"/>
        <v>#N/A</v>
      </c>
      <c r="Z378" s="143" t="e">
        <f t="shared" si="258"/>
        <v>#N/A</v>
      </c>
      <c r="AA378" s="134"/>
      <c r="AB378" s="135"/>
      <c r="AC378" s="135"/>
      <c r="AD378" s="131"/>
      <c r="AE378" s="129"/>
      <c r="AF378" s="129"/>
      <c r="AG378" s="139">
        <v>117</v>
      </c>
      <c r="AH378" s="138" t="str">
        <f t="shared" si="259"/>
        <v>110-130</v>
      </c>
      <c r="AI378" s="138">
        <f t="shared" si="260"/>
        <v>10159.810450732197</v>
      </c>
      <c r="AJ378" s="36"/>
      <c r="AK378" s="36"/>
      <c r="AL378" s="37"/>
      <c r="AM378" s="79"/>
      <c r="AN378" s="79"/>
      <c r="AO378" s="79"/>
      <c r="AP378" s="136"/>
      <c r="AQ378" s="136"/>
      <c r="AR378" s="136"/>
      <c r="AS378" s="131"/>
      <c r="AT378" s="131"/>
      <c r="AU378" s="4"/>
    </row>
    <row r="379" spans="1:47" s="14" customFormat="1" x14ac:dyDescent="0.25">
      <c r="A379" s="53"/>
      <c r="B379" s="15" t="s">
        <v>4</v>
      </c>
      <c r="C379" s="140"/>
      <c r="D379" s="140" t="s">
        <v>1314</v>
      </c>
      <c r="E379" s="140" t="s">
        <v>1261</v>
      </c>
      <c r="F379" s="71" t="s">
        <v>1315</v>
      </c>
      <c r="G379" s="6" t="s">
        <v>1313</v>
      </c>
      <c r="H379" s="33">
        <v>400008</v>
      </c>
      <c r="I379" s="90"/>
      <c r="J379" s="90" t="str">
        <f>VLOOKUP(I379,$AV$4:$AW$9,2,1)</f>
        <v>0-20</v>
      </c>
      <c r="K379" s="91">
        <f>VLOOKUP(J379,$AW$3:$AX$9,2,0)</f>
        <v>3844.3574443810608</v>
      </c>
      <c r="L379" s="35"/>
      <c r="M379" s="35" t="str">
        <f>VLOOKUP(L379,$AV$4:$AW$9,2,1)</f>
        <v>0-20</v>
      </c>
      <c r="N379" s="36">
        <f>VLOOKUP(M379,$AW$3:$AX$9,2,0)</f>
        <v>3844.3574443810608</v>
      </c>
      <c r="O379" s="51"/>
      <c r="P379" s="51" t="str">
        <f>VLOOKUP(O379,$AV$3:$AW$9,2,1)</f>
        <v>0-20</v>
      </c>
      <c r="Q379" s="51">
        <f>VLOOKUP(P379,$AW$3:$AX$9,2,0)</f>
        <v>3844.3574443810608</v>
      </c>
      <c r="R379" s="49"/>
      <c r="S379" s="49" t="str">
        <f>VLOOKUP(R379,$AV$3:$AW$9,2,1)</f>
        <v>0-20</v>
      </c>
      <c r="T379" s="49">
        <f>VLOOKUP(S379,$AW$3:$AX$9,2,0)</f>
        <v>3844.3574443810608</v>
      </c>
      <c r="U379" s="50"/>
      <c r="V379" s="50" t="str">
        <f>VLOOKUP(U379,$AV$3:$AW$9,2,1)</f>
        <v>0-20</v>
      </c>
      <c r="W379" s="50">
        <f>VLOOKUP(V379,$AW$3:$AX$9,2,0)</f>
        <v>3844.3574443810608</v>
      </c>
      <c r="X379" s="143" t="s">
        <v>1458</v>
      </c>
      <c r="Y379" s="143" t="e">
        <f t="shared" si="257"/>
        <v>#N/A</v>
      </c>
      <c r="Z379" s="143" t="e">
        <f t="shared" si="258"/>
        <v>#N/A</v>
      </c>
      <c r="AA379" s="134"/>
      <c r="AB379" s="135"/>
      <c r="AC379" s="135"/>
      <c r="AD379" s="131">
        <v>48</v>
      </c>
      <c r="AE379" s="129" t="str">
        <f>VLOOKUP(AD379,$AV$4:$AW$9,2,1)</f>
        <v>31-50</v>
      </c>
      <c r="AF379" s="129">
        <f>VLOOKUP(AE379,$AW$3:$AX$9,2,0)</f>
        <v>5073.1976040297868</v>
      </c>
      <c r="AG379" s="139">
        <v>112</v>
      </c>
      <c r="AH379" s="138" t="str">
        <f>VLOOKUP(AG379,$AV$4:$AW$9,2,1)</f>
        <v>110-130</v>
      </c>
      <c r="AI379" s="138">
        <f>VLOOKUP(AH379,$AW$3:$AX$9,2,0)</f>
        <v>10159.810450732197</v>
      </c>
      <c r="AJ379" s="36"/>
      <c r="AK379" s="36"/>
      <c r="AL379" s="37"/>
      <c r="AM379" s="79"/>
      <c r="AN379" s="79"/>
      <c r="AO379" s="79"/>
      <c r="AP379" s="136"/>
      <c r="AQ379" s="136"/>
      <c r="AR379" s="136"/>
      <c r="AS379" s="131"/>
      <c r="AT379" s="131"/>
      <c r="AU379" s="4"/>
    </row>
    <row r="380" spans="1:47" s="14" customFormat="1" x14ac:dyDescent="0.25">
      <c r="A380" s="53"/>
      <c r="B380" s="15" t="s">
        <v>4</v>
      </c>
      <c r="C380" s="140"/>
      <c r="D380" s="140" t="s">
        <v>1320</v>
      </c>
      <c r="E380" s="140" t="s">
        <v>1321</v>
      </c>
      <c r="F380" s="71" t="s">
        <v>1323</v>
      </c>
      <c r="G380" s="6" t="s">
        <v>1324</v>
      </c>
      <c r="H380" s="33">
        <v>400007</v>
      </c>
      <c r="I380" s="90"/>
      <c r="J380" s="90" t="str">
        <f>VLOOKUP(I380,$AV$4:$AW$9,2,1)</f>
        <v>0-20</v>
      </c>
      <c r="K380" s="91">
        <f>VLOOKUP(J380,$AW$3:$AX$9,2,0)</f>
        <v>3844.3574443810608</v>
      </c>
      <c r="L380" s="35"/>
      <c r="M380" s="35" t="str">
        <f>VLOOKUP(L380,$AV$4:$AW$9,2,1)</f>
        <v>0-20</v>
      </c>
      <c r="N380" s="36">
        <f>VLOOKUP(M380,$AW$3:$AX$9,2,0)</f>
        <v>3844.3574443810608</v>
      </c>
      <c r="O380" s="51"/>
      <c r="P380" s="51" t="str">
        <f>VLOOKUP(O380,$AV$3:$AW$9,2,1)</f>
        <v>0-20</v>
      </c>
      <c r="Q380" s="51">
        <f>VLOOKUP(P380,$AW$3:$AX$9,2,0)</f>
        <v>3844.3574443810608</v>
      </c>
      <c r="R380" s="49"/>
      <c r="S380" s="49" t="str">
        <f>VLOOKUP(R380,$AV$3:$AW$9,2,1)</f>
        <v>0-20</v>
      </c>
      <c r="T380" s="49">
        <f>VLOOKUP(S380,$AW$3:$AX$9,2,0)</f>
        <v>3844.3574443810608</v>
      </c>
      <c r="U380" s="50"/>
      <c r="V380" s="50" t="str">
        <f>VLOOKUP(U380,$AV$3:$AW$9,2,1)</f>
        <v>0-20</v>
      </c>
      <c r="W380" s="50">
        <f>VLOOKUP(V380,$AW$3:$AX$9,2,0)</f>
        <v>3844.3574443810608</v>
      </c>
      <c r="X380" s="143" t="s">
        <v>1458</v>
      </c>
      <c r="Y380" s="143" t="e">
        <f t="shared" si="257"/>
        <v>#N/A</v>
      </c>
      <c r="Z380" s="143" t="e">
        <f t="shared" si="258"/>
        <v>#N/A</v>
      </c>
      <c r="AA380" s="134"/>
      <c r="AB380" s="135"/>
      <c r="AC380" s="135"/>
      <c r="AD380" s="131"/>
      <c r="AE380" s="129" t="str">
        <f>VLOOKUP(AD380,$AV$4:$AW$9,2,1)</f>
        <v>0-20</v>
      </c>
      <c r="AF380" s="129">
        <f>VLOOKUP(AE380,$AW$3:$AX$9,2,0)</f>
        <v>3844.3574443810608</v>
      </c>
      <c r="AG380" s="139">
        <v>111</v>
      </c>
      <c r="AH380" s="138" t="str">
        <f>VLOOKUP(AG380,$AV$4:$AW$9,2,1)</f>
        <v>110-130</v>
      </c>
      <c r="AI380" s="138">
        <f>VLOOKUP(AH380,$AW$3:$AX$9,2,0)</f>
        <v>10159.810450732197</v>
      </c>
      <c r="AJ380" s="36"/>
      <c r="AK380" s="36"/>
      <c r="AL380" s="37"/>
      <c r="AM380" s="79"/>
      <c r="AN380" s="79"/>
      <c r="AO380" s="79"/>
      <c r="AP380" s="136"/>
      <c r="AQ380" s="136"/>
      <c r="AR380" s="136"/>
      <c r="AS380" s="131"/>
      <c r="AT380" s="131"/>
      <c r="AU380" s="4"/>
    </row>
    <row r="381" spans="1:47" s="14" customFormat="1" x14ac:dyDescent="0.25">
      <c r="A381" s="53"/>
      <c r="B381" s="15" t="s">
        <v>4</v>
      </c>
      <c r="C381" s="140"/>
      <c r="D381" s="140" t="s">
        <v>1358</v>
      </c>
      <c r="E381" s="140" t="s">
        <v>456</v>
      </c>
      <c r="F381" s="71" t="s">
        <v>1359</v>
      </c>
      <c r="G381" s="6" t="s">
        <v>1360</v>
      </c>
      <c r="H381" s="33">
        <v>400083</v>
      </c>
      <c r="I381" s="90"/>
      <c r="J381" s="90"/>
      <c r="K381" s="91"/>
      <c r="L381" s="35"/>
      <c r="M381" s="35"/>
      <c r="N381" s="36"/>
      <c r="O381" s="51"/>
      <c r="P381" s="51"/>
      <c r="Q381" s="51"/>
      <c r="R381" s="49"/>
      <c r="S381" s="49"/>
      <c r="T381" s="49"/>
      <c r="U381" s="50"/>
      <c r="V381" s="50"/>
      <c r="W381" s="50"/>
      <c r="X381" s="143" t="s">
        <v>1458</v>
      </c>
      <c r="Y381" s="143" t="e">
        <f t="shared" si="257"/>
        <v>#N/A</v>
      </c>
      <c r="Z381" s="143" t="e">
        <f t="shared" si="258"/>
        <v>#N/A</v>
      </c>
      <c r="AA381" s="134"/>
      <c r="AB381" s="135"/>
      <c r="AC381" s="135"/>
      <c r="AD381" s="131"/>
      <c r="AE381" s="129"/>
      <c r="AF381" s="129"/>
      <c r="AG381" s="139">
        <v>96</v>
      </c>
      <c r="AH381" s="138" t="str">
        <f>VLOOKUP(AG381,$AV$4:$AW$9,2,1)</f>
        <v>81-110</v>
      </c>
      <c r="AI381" s="138">
        <f>VLOOKUP(AH381,$AW$3:$AX$9,2,0)</f>
        <v>8747.8561594387575</v>
      </c>
      <c r="AJ381" s="36"/>
      <c r="AK381" s="36"/>
      <c r="AL381" s="37"/>
      <c r="AM381" s="79"/>
      <c r="AN381" s="79"/>
      <c r="AO381" s="79"/>
      <c r="AP381" s="136"/>
      <c r="AQ381" s="136"/>
      <c r="AR381" s="136"/>
      <c r="AS381" s="131"/>
      <c r="AT381" s="131"/>
      <c r="AU381" s="4"/>
    </row>
    <row r="382" spans="1:47" s="14" customFormat="1" x14ac:dyDescent="0.25">
      <c r="A382" s="53"/>
      <c r="B382" s="112" t="s">
        <v>1498</v>
      </c>
      <c r="C382" s="140" t="s">
        <v>1497</v>
      </c>
      <c r="D382" s="89" t="s">
        <v>1457</v>
      </c>
      <c r="E382" s="89" t="s">
        <v>1456</v>
      </c>
      <c r="F382" s="71" t="s">
        <v>1488</v>
      </c>
      <c r="G382" s="6" t="s">
        <v>1468</v>
      </c>
      <c r="H382" s="33">
        <v>400067</v>
      </c>
      <c r="I382" s="35"/>
      <c r="J382" s="35"/>
      <c r="K382" s="36"/>
      <c r="L382" s="35">
        <v>35</v>
      </c>
      <c r="M382" s="35" t="str">
        <f>VLOOKUP(L382,$AV$4:$AW$9,2,1)</f>
        <v>31-50</v>
      </c>
      <c r="N382" s="36">
        <f>VLOOKUP(M382,$AW$3:$AX$9,2,0)</f>
        <v>5073.1976040297868</v>
      </c>
      <c r="O382" s="51">
        <v>40</v>
      </c>
      <c r="P382" s="51" t="str">
        <f>VLOOKUP(O382,$AV$3:$AW$9,2,1)</f>
        <v>31-50</v>
      </c>
      <c r="Q382" s="51">
        <f>VLOOKUP(P382,$AW$3:$AX$9,2,0)</f>
        <v>5073.1976040297868</v>
      </c>
      <c r="R382" s="49">
        <v>15</v>
      </c>
      <c r="S382" s="49" t="str">
        <f>VLOOKUP(R382,$AV$3:$AW$9,2,1)</f>
        <v>0-20</v>
      </c>
      <c r="T382" s="49">
        <f>VLOOKUP(S382,$AW$3:$AX$9,2,0)</f>
        <v>3844.3574443810608</v>
      </c>
      <c r="U382" s="50">
        <v>27</v>
      </c>
      <c r="V382" s="50" t="str">
        <f>VLOOKUP(U382,$AV$3:$AW$9,2,1)</f>
        <v>21-30</v>
      </c>
      <c r="W382" s="50">
        <f>VLOOKUP(V382,$AW$3:$AX$9,2,0)</f>
        <v>4508.6394748902885</v>
      </c>
      <c r="X382" s="143">
        <v>56</v>
      </c>
      <c r="Y382" s="143" t="str">
        <f t="shared" si="257"/>
        <v>51-80</v>
      </c>
      <c r="Z382" s="143">
        <f t="shared" si="258"/>
        <v>6509</v>
      </c>
      <c r="AA382" s="134"/>
      <c r="AB382" s="135"/>
      <c r="AC382" s="135"/>
      <c r="AD382" s="131"/>
      <c r="AE382" s="129"/>
      <c r="AF382" s="129"/>
      <c r="AG382" s="139"/>
      <c r="AH382" s="138"/>
      <c r="AI382" s="138"/>
      <c r="AJ382" s="36"/>
      <c r="AK382" s="36"/>
      <c r="AL382" s="37"/>
      <c r="AM382" s="79"/>
      <c r="AN382" s="79"/>
      <c r="AO382" s="79"/>
      <c r="AP382" s="136"/>
      <c r="AQ382" s="136"/>
      <c r="AR382" s="136"/>
      <c r="AS382" s="131"/>
      <c r="AT382" s="131"/>
      <c r="AU382" s="4"/>
    </row>
    <row r="383" spans="1:47" s="14" customFormat="1" x14ac:dyDescent="0.25">
      <c r="A383" s="53"/>
      <c r="B383" s="112" t="s">
        <v>1498</v>
      </c>
      <c r="C383" s="140" t="s">
        <v>1497</v>
      </c>
      <c r="D383" s="89" t="s">
        <v>1489</v>
      </c>
      <c r="E383" s="89" t="s">
        <v>1368</v>
      </c>
      <c r="F383" s="71" t="s">
        <v>595</v>
      </c>
      <c r="G383" s="6" t="s">
        <v>1494</v>
      </c>
      <c r="H383" s="33">
        <v>400086</v>
      </c>
      <c r="I383" s="35"/>
      <c r="J383" s="35"/>
      <c r="K383" s="36"/>
      <c r="L383" s="35">
        <v>20</v>
      </c>
      <c r="M383" s="35" t="str">
        <f>VLOOKUP(L383,$AV$4:$AW$9,2,1)</f>
        <v>0-20</v>
      </c>
      <c r="N383" s="36">
        <f>VLOOKUP(M383,$AW$3:$AX$9,2,0)</f>
        <v>3844.3574443810608</v>
      </c>
      <c r="O383" s="51">
        <v>61</v>
      </c>
      <c r="P383" s="51" t="str">
        <f>VLOOKUP(O383,$AV$3:$AW$9,2,1)</f>
        <v>51-80</v>
      </c>
      <c r="Q383" s="51">
        <f>VLOOKUP(P383,$AW$3:$AX$9,2,0)</f>
        <v>6509</v>
      </c>
      <c r="R383" s="49">
        <v>9</v>
      </c>
      <c r="S383" s="49" t="str">
        <f>VLOOKUP(R383,$AV$3:$AW$9,2,1)</f>
        <v>0-20</v>
      </c>
      <c r="T383" s="49">
        <f>VLOOKUP(S383,$AW$3:$AX$9,2,0)</f>
        <v>3844.3574443810608</v>
      </c>
      <c r="U383" s="50"/>
      <c r="V383" s="50"/>
      <c r="W383" s="50"/>
      <c r="X383" s="143">
        <v>45</v>
      </c>
      <c r="Y383" s="143" t="str">
        <f t="shared" si="257"/>
        <v>31-50</v>
      </c>
      <c r="Z383" s="143">
        <f t="shared" si="258"/>
        <v>5073.1976040297868</v>
      </c>
      <c r="AA383" s="134"/>
      <c r="AB383" s="135"/>
      <c r="AC383" s="135"/>
      <c r="AD383" s="131"/>
      <c r="AE383" s="129"/>
      <c r="AF383" s="129"/>
      <c r="AG383" s="139"/>
      <c r="AH383" s="138"/>
      <c r="AI383" s="138"/>
      <c r="AJ383" s="36"/>
      <c r="AK383" s="36"/>
      <c r="AL383" s="37"/>
      <c r="AM383" s="79"/>
      <c r="AN383" s="79"/>
      <c r="AO383" s="79"/>
      <c r="AP383" s="136"/>
      <c r="AQ383" s="136"/>
      <c r="AR383" s="136"/>
      <c r="AS383" s="131"/>
      <c r="AT383" s="131"/>
      <c r="AU383" s="4"/>
    </row>
    <row r="384" spans="1:47" s="14" customFormat="1" x14ac:dyDescent="0.25">
      <c r="A384" s="53"/>
      <c r="B384" s="112" t="s">
        <v>1498</v>
      </c>
      <c r="C384" s="140" t="s">
        <v>1497</v>
      </c>
      <c r="D384" s="89" t="s">
        <v>1490</v>
      </c>
      <c r="E384" s="9" t="s">
        <v>1492</v>
      </c>
      <c r="F384" s="34" t="s">
        <v>1495</v>
      </c>
      <c r="G384" s="6" t="s">
        <v>678</v>
      </c>
      <c r="H384" s="33">
        <v>400607</v>
      </c>
      <c r="I384" s="35"/>
      <c r="J384" s="35"/>
      <c r="K384" s="36"/>
      <c r="L384" s="35">
        <v>8</v>
      </c>
      <c r="M384" s="35" t="str">
        <f>VLOOKUP(L384,$AV$4:$AW$9,2,1)</f>
        <v>0-20</v>
      </c>
      <c r="N384" s="36">
        <f>VLOOKUP(M384,$AW$3:$AX$9,2,0)</f>
        <v>3844.3574443810608</v>
      </c>
      <c r="O384" s="51">
        <v>38</v>
      </c>
      <c r="P384" s="51" t="str">
        <f>VLOOKUP(O384,$AV$3:$AW$9,2,1)</f>
        <v>31-50</v>
      </c>
      <c r="Q384" s="51">
        <f>VLOOKUP(P384,$AW$3:$AX$9,2,0)</f>
        <v>5073.1976040297868</v>
      </c>
      <c r="R384" s="49">
        <v>26</v>
      </c>
      <c r="S384" s="49" t="str">
        <f>VLOOKUP(R384,$AV$3:$AW$9,2,1)</f>
        <v>21-30</v>
      </c>
      <c r="T384" s="49">
        <f>VLOOKUP(S384,$AW$3:$AX$9,2,0)</f>
        <v>4508.6394748902885</v>
      </c>
      <c r="U384" s="50">
        <v>23</v>
      </c>
      <c r="V384" s="50" t="str">
        <f t="shared" ref="V384:V385" si="261">VLOOKUP(U384,$AV$3:$AW$9,2,1)</f>
        <v>21-30</v>
      </c>
      <c r="W384" s="50">
        <f t="shared" ref="W384:W385" si="262">VLOOKUP(V384,$AW$3:$AX$9,2,0)</f>
        <v>4508.6394748902885</v>
      </c>
      <c r="X384" s="143">
        <v>28</v>
      </c>
      <c r="Y384" s="143" t="str">
        <f t="shared" si="257"/>
        <v>21-30</v>
      </c>
      <c r="Z384" s="143">
        <f t="shared" si="258"/>
        <v>4508.6394748902885</v>
      </c>
      <c r="AA384" s="134"/>
      <c r="AB384" s="135"/>
      <c r="AC384" s="135"/>
      <c r="AD384" s="131"/>
      <c r="AE384" s="129"/>
      <c r="AF384" s="129"/>
      <c r="AG384" s="139"/>
      <c r="AH384" s="138"/>
      <c r="AI384" s="138"/>
      <c r="AJ384" s="36"/>
      <c r="AK384" s="36"/>
      <c r="AL384" s="37"/>
      <c r="AM384" s="79"/>
      <c r="AN384" s="79"/>
      <c r="AO384" s="79"/>
      <c r="AP384" s="136"/>
      <c r="AQ384" s="136"/>
      <c r="AR384" s="136"/>
      <c r="AS384" s="131"/>
      <c r="AT384" s="131"/>
      <c r="AU384" s="4"/>
    </row>
    <row r="385" spans="1:49" s="14" customFormat="1" x14ac:dyDescent="0.25">
      <c r="A385" s="53"/>
      <c r="B385" s="112" t="s">
        <v>1498</v>
      </c>
      <c r="C385" s="140" t="s">
        <v>1497</v>
      </c>
      <c r="D385" s="89" t="s">
        <v>1491</v>
      </c>
      <c r="E385" s="9" t="s">
        <v>1493</v>
      </c>
      <c r="F385" s="9" t="s">
        <v>1496</v>
      </c>
      <c r="G385" s="6" t="s">
        <v>558</v>
      </c>
      <c r="H385" s="33">
        <v>421302</v>
      </c>
      <c r="I385" s="35"/>
      <c r="J385" s="35"/>
      <c r="K385" s="36"/>
      <c r="L385" s="35">
        <v>28</v>
      </c>
      <c r="M385" s="35" t="str">
        <f>VLOOKUP(L385,$AV$4:$AW$9,2,1)</f>
        <v>21-30</v>
      </c>
      <c r="N385" s="36">
        <f>VLOOKUP(M385,$AW$3:$AX$9,2,0)</f>
        <v>4508.6394748902885</v>
      </c>
      <c r="O385" s="51">
        <v>41</v>
      </c>
      <c r="P385" s="51" t="str">
        <f>VLOOKUP(O385,$AV$3:$AW$9,2,1)</f>
        <v>31-50</v>
      </c>
      <c r="Q385" s="51">
        <f>VLOOKUP(P385,$AW$3:$AX$9,2,0)</f>
        <v>5073.1976040297868</v>
      </c>
      <c r="R385" s="49">
        <v>48</v>
      </c>
      <c r="S385" s="49" t="str">
        <f>VLOOKUP(R385,$AV$3:$AW$9,2,1)</f>
        <v>31-50</v>
      </c>
      <c r="T385" s="49">
        <f>VLOOKUP(S385,$AW$3:$AX$9,2,0)</f>
        <v>5073.1976040297868</v>
      </c>
      <c r="U385" s="50">
        <v>45</v>
      </c>
      <c r="V385" s="50" t="str">
        <f t="shared" si="261"/>
        <v>31-50</v>
      </c>
      <c r="W385" s="50">
        <f t="shared" si="262"/>
        <v>5073.1976040297868</v>
      </c>
      <c r="X385" s="143"/>
      <c r="Y385" s="143"/>
      <c r="Z385" s="143"/>
      <c r="AA385" s="134"/>
      <c r="AB385" s="135"/>
      <c r="AC385" s="135"/>
      <c r="AD385" s="131"/>
      <c r="AE385" s="129"/>
      <c r="AF385" s="129"/>
      <c r="AG385" s="139"/>
      <c r="AH385" s="138"/>
      <c r="AI385" s="138"/>
      <c r="AJ385" s="36"/>
      <c r="AK385" s="36"/>
      <c r="AL385" s="37"/>
      <c r="AM385" s="79"/>
      <c r="AN385" s="79"/>
      <c r="AO385" s="79"/>
      <c r="AP385" s="136"/>
      <c r="AQ385" s="136"/>
      <c r="AR385" s="136"/>
      <c r="AS385" s="131"/>
      <c r="AT385" s="131"/>
      <c r="AU385" s="4"/>
    </row>
    <row r="386" spans="1:49" s="14" customFormat="1" x14ac:dyDescent="0.25">
      <c r="A386" s="53"/>
      <c r="B386" s="112" t="s">
        <v>1498</v>
      </c>
      <c r="C386" s="140" t="s">
        <v>1497</v>
      </c>
      <c r="D386" s="89" t="s">
        <v>1516</v>
      </c>
      <c r="E386" s="89" t="s">
        <v>1369</v>
      </c>
      <c r="F386" s="71" t="s">
        <v>1517</v>
      </c>
      <c r="G386" s="6" t="s">
        <v>539</v>
      </c>
      <c r="H386" s="33">
        <v>400099</v>
      </c>
      <c r="I386" s="35"/>
      <c r="J386" s="35"/>
      <c r="K386" s="36"/>
      <c r="L386" s="35">
        <v>24</v>
      </c>
      <c r="M386" s="35" t="str">
        <f>VLOOKUP(L386,$AV$4:$AW$9,2,1)</f>
        <v>21-30</v>
      </c>
      <c r="N386" s="36">
        <f>VLOOKUP(M386,$AW$3:$AX$9,2,0)</f>
        <v>4508.6394748902885</v>
      </c>
      <c r="O386" s="51">
        <v>42</v>
      </c>
      <c r="P386" s="51" t="str">
        <f>VLOOKUP(O386,$AV$3:$AW$9,2,1)</f>
        <v>31-50</v>
      </c>
      <c r="Q386" s="51">
        <f>VLOOKUP(P386,$AW$3:$AX$9,2,0)</f>
        <v>5073.1976040297868</v>
      </c>
      <c r="R386" s="49"/>
      <c r="S386" s="49"/>
      <c r="T386" s="49"/>
      <c r="U386" s="50">
        <v>11</v>
      </c>
      <c r="V386" s="50" t="str">
        <f t="shared" ref="V386" si="263">VLOOKUP(U386,$AV$3:$AW$9,2,1)</f>
        <v>0-20</v>
      </c>
      <c r="W386" s="50">
        <f t="shared" ref="W386" si="264">VLOOKUP(V386,$AW$3:$AX$9,2,0)</f>
        <v>3844.3574443810608</v>
      </c>
      <c r="X386" s="143">
        <v>44</v>
      </c>
      <c r="Y386" s="143" t="str">
        <f t="shared" ref="Y386" si="265">VLOOKUP(X386,$AV$4:$AW$9,2,1)</f>
        <v>31-50</v>
      </c>
      <c r="Z386" s="143">
        <f t="shared" ref="Z386" si="266">VLOOKUP(Y386,$AW$3:$AX$9,2,0)</f>
        <v>5073.1976040297868</v>
      </c>
      <c r="AA386" s="134"/>
      <c r="AB386" s="135"/>
      <c r="AC386" s="135"/>
      <c r="AD386" s="131"/>
      <c r="AE386" s="129"/>
      <c r="AF386" s="129"/>
      <c r="AG386" s="139"/>
      <c r="AH386" s="138"/>
      <c r="AI386" s="138"/>
      <c r="AJ386" s="36"/>
      <c r="AK386" s="36"/>
      <c r="AL386" s="37"/>
      <c r="AM386" s="79"/>
      <c r="AN386" s="79"/>
      <c r="AO386" s="79"/>
      <c r="AP386" s="136"/>
      <c r="AQ386" s="136"/>
      <c r="AR386" s="136"/>
      <c r="AS386" s="131"/>
      <c r="AT386" s="131"/>
      <c r="AU386" s="4"/>
    </row>
    <row r="387" spans="1:49" s="14" customFormat="1" x14ac:dyDescent="0.25">
      <c r="A387" s="53"/>
      <c r="B387" s="71"/>
      <c r="C387" s="89"/>
      <c r="D387" s="89"/>
      <c r="E387" s="89"/>
      <c r="F387" s="71"/>
      <c r="G387" s="6"/>
      <c r="H387" s="33"/>
      <c r="I387" s="35"/>
      <c r="J387" s="35"/>
      <c r="K387" s="36"/>
      <c r="L387" s="35"/>
      <c r="M387" s="35"/>
      <c r="N387" s="36"/>
      <c r="O387" s="51"/>
      <c r="P387" s="51"/>
      <c r="Q387" s="51"/>
      <c r="R387" s="49"/>
      <c r="S387" s="49"/>
      <c r="T387" s="49"/>
      <c r="U387" s="50"/>
      <c r="V387" s="50"/>
      <c r="W387" s="50"/>
      <c r="X387" s="143" t="s">
        <v>1458</v>
      </c>
      <c r="Y387" s="143" t="e">
        <f t="shared" si="206"/>
        <v>#N/A</v>
      </c>
      <c r="Z387" s="143" t="e">
        <f t="shared" si="207"/>
        <v>#N/A</v>
      </c>
      <c r="AA387" s="134"/>
      <c r="AB387" s="135"/>
      <c r="AC387" s="135"/>
      <c r="AD387" s="131"/>
      <c r="AE387" s="129"/>
      <c r="AF387" s="129"/>
      <c r="AG387" s="139"/>
      <c r="AH387" s="138"/>
      <c r="AI387" s="138"/>
      <c r="AJ387" s="36"/>
      <c r="AK387" s="36"/>
      <c r="AL387" s="37"/>
      <c r="AM387" s="79"/>
      <c r="AN387" s="79"/>
      <c r="AO387" s="79"/>
      <c r="AP387" s="136"/>
      <c r="AQ387" s="136"/>
      <c r="AR387" s="136"/>
      <c r="AS387" s="131"/>
      <c r="AT387" s="131"/>
      <c r="AU387" s="4"/>
    </row>
    <row r="388" spans="1:49" s="14" customFormat="1" x14ac:dyDescent="0.25">
      <c r="A388" s="53"/>
      <c r="B388" s="71"/>
      <c r="C388" s="89"/>
      <c r="D388" s="89"/>
      <c r="E388" s="89"/>
      <c r="F388" s="71"/>
      <c r="G388" s="6"/>
      <c r="H388" s="33"/>
      <c r="I388" s="35"/>
      <c r="J388" s="35"/>
      <c r="K388" s="36"/>
      <c r="L388" s="35"/>
      <c r="M388" s="35"/>
      <c r="N388" s="36"/>
      <c r="O388" s="51"/>
      <c r="P388" s="51"/>
      <c r="Q388" s="51"/>
      <c r="R388" s="49"/>
      <c r="S388" s="49"/>
      <c r="T388" s="49"/>
      <c r="U388" s="50"/>
      <c r="V388" s="50"/>
      <c r="W388" s="50"/>
      <c r="X388" s="143" t="s">
        <v>1458</v>
      </c>
      <c r="Y388" s="143" t="e">
        <f t="shared" si="206"/>
        <v>#N/A</v>
      </c>
      <c r="Z388" s="143" t="e">
        <f t="shared" si="207"/>
        <v>#N/A</v>
      </c>
      <c r="AA388" s="134"/>
      <c r="AB388" s="135"/>
      <c r="AC388" s="135"/>
      <c r="AD388" s="131"/>
      <c r="AE388" s="129"/>
      <c r="AF388" s="129"/>
      <c r="AG388" s="139"/>
      <c r="AH388" s="138"/>
      <c r="AI388" s="138"/>
      <c r="AJ388" s="36"/>
      <c r="AK388" s="36"/>
      <c r="AL388" s="37"/>
      <c r="AM388" s="79"/>
      <c r="AN388" s="79"/>
      <c r="AO388" s="79"/>
      <c r="AP388" s="136"/>
      <c r="AQ388" s="136"/>
      <c r="AR388" s="136"/>
      <c r="AS388" s="131"/>
      <c r="AT388" s="131"/>
      <c r="AU388" s="4"/>
    </row>
    <row r="389" spans="1:49" s="14" customFormat="1" x14ac:dyDescent="0.25">
      <c r="A389" s="61"/>
      <c r="B389" s="70"/>
      <c r="C389" s="70"/>
      <c r="D389" s="70"/>
      <c r="E389" s="70"/>
      <c r="F389" s="70" t="s">
        <v>1087</v>
      </c>
      <c r="G389" s="29"/>
      <c r="H389" s="30"/>
      <c r="I389" s="31" t="s">
        <v>19</v>
      </c>
      <c r="J389" s="31" t="s">
        <v>17</v>
      </c>
      <c r="K389" s="31" t="s">
        <v>18</v>
      </c>
      <c r="L389" s="31" t="s">
        <v>19</v>
      </c>
      <c r="M389" s="31" t="s">
        <v>17</v>
      </c>
      <c r="N389" s="31" t="s">
        <v>18</v>
      </c>
      <c r="O389" s="31" t="s">
        <v>19</v>
      </c>
      <c r="P389" s="31" t="s">
        <v>17</v>
      </c>
      <c r="Q389" s="31" t="s">
        <v>18</v>
      </c>
      <c r="R389" s="31" t="s">
        <v>19</v>
      </c>
      <c r="S389" s="31" t="s">
        <v>17</v>
      </c>
      <c r="T389" s="31" t="s">
        <v>18</v>
      </c>
      <c r="U389" s="31" t="s">
        <v>19</v>
      </c>
      <c r="V389" s="31" t="s">
        <v>17</v>
      </c>
      <c r="W389" s="29" t="s">
        <v>18</v>
      </c>
      <c r="X389" s="61"/>
      <c r="Y389" s="61"/>
      <c r="Z389" s="61"/>
      <c r="AA389" s="65" t="s">
        <v>19</v>
      </c>
      <c r="AB389" s="65" t="s">
        <v>17</v>
      </c>
      <c r="AC389" s="65" t="s">
        <v>18</v>
      </c>
      <c r="AD389" s="65" t="s">
        <v>19</v>
      </c>
      <c r="AE389" s="65" t="s">
        <v>17</v>
      </c>
      <c r="AF389" s="65" t="s">
        <v>18</v>
      </c>
      <c r="AG389" s="65"/>
      <c r="AH389" s="65"/>
      <c r="AI389" s="65"/>
      <c r="AJ389" s="31" t="s">
        <v>19</v>
      </c>
      <c r="AK389" s="31" t="s">
        <v>17</v>
      </c>
      <c r="AL389" s="31" t="s">
        <v>18</v>
      </c>
      <c r="AM389" s="65"/>
      <c r="AN389" s="65"/>
      <c r="AO389" s="65"/>
      <c r="AP389" s="65" t="s">
        <v>19</v>
      </c>
      <c r="AQ389" s="65" t="s">
        <v>17</v>
      </c>
      <c r="AR389" s="65" t="s">
        <v>18</v>
      </c>
      <c r="AS389" s="65"/>
      <c r="AT389" s="65"/>
      <c r="AU389" s="4"/>
    </row>
    <row r="390" spans="1:49" x14ac:dyDescent="0.25">
      <c r="A390" s="53"/>
      <c r="B390" s="41"/>
      <c r="C390" s="54"/>
      <c r="D390" s="54"/>
      <c r="E390" s="54"/>
      <c r="F390" s="41" t="s">
        <v>1408</v>
      </c>
      <c r="G390" s="1"/>
      <c r="H390" s="55"/>
      <c r="I390" s="56"/>
      <c r="J390" s="56"/>
      <c r="K390" s="57"/>
      <c r="L390" s="56"/>
      <c r="M390" s="56"/>
      <c r="N390" s="57"/>
      <c r="O390" s="58"/>
      <c r="P390" s="58"/>
      <c r="Q390" s="58"/>
      <c r="R390" s="59"/>
      <c r="S390" s="59"/>
      <c r="T390" s="59"/>
      <c r="U390" s="60"/>
      <c r="V390" s="60"/>
      <c r="W390" s="60"/>
      <c r="X390" s="60"/>
      <c r="Y390" s="60"/>
      <c r="Z390" s="60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</row>
    <row r="391" spans="1:49" x14ac:dyDescent="0.25">
      <c r="A391" s="53"/>
      <c r="B391" s="41"/>
      <c r="C391" s="54"/>
      <c r="D391" s="54"/>
      <c r="E391" s="54"/>
      <c r="F391" s="41"/>
      <c r="G391" s="1"/>
      <c r="H391" s="55"/>
      <c r="I391" s="56"/>
      <c r="J391" s="56"/>
      <c r="K391" s="57"/>
      <c r="L391" s="56"/>
      <c r="M391" s="56"/>
      <c r="N391" s="57"/>
      <c r="O391" s="58"/>
      <c r="P391" s="58"/>
      <c r="Q391" s="58"/>
      <c r="R391" s="59"/>
      <c r="S391" s="59"/>
      <c r="T391" s="59"/>
      <c r="U391" s="60"/>
      <c r="V391" s="60"/>
      <c r="W391" s="60"/>
      <c r="X391" s="60"/>
      <c r="Y391" s="60"/>
      <c r="Z391" s="60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</row>
    <row r="392" spans="1:49" x14ac:dyDescent="0.25">
      <c r="A392" s="44"/>
      <c r="B392" s="41"/>
      <c r="C392" s="41"/>
      <c r="D392" s="41"/>
      <c r="E392" s="41"/>
      <c r="F392" s="41"/>
      <c r="G392" s="41"/>
      <c r="H392" s="41"/>
      <c r="I392" s="41"/>
      <c r="J392" s="41"/>
      <c r="K392" s="45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5"/>
      <c r="AM392" s="45"/>
      <c r="AN392" s="45"/>
      <c r="AO392" s="45"/>
      <c r="AP392" s="41"/>
      <c r="AQ392" s="41"/>
      <c r="AR392" s="41"/>
      <c r="AS392" s="41"/>
      <c r="AT392" s="41"/>
      <c r="AU392" s="41"/>
      <c r="AV392" s="41"/>
      <c r="AW392" s="41"/>
    </row>
    <row r="393" spans="1:49" x14ac:dyDescent="0.25">
      <c r="A393" s="44"/>
      <c r="B393" s="41"/>
      <c r="C393" s="41"/>
      <c r="D393" s="41"/>
      <c r="E393" s="41"/>
      <c r="F393" s="41"/>
      <c r="G393" s="41">
        <f>1000*12</f>
        <v>12000</v>
      </c>
    </row>
    <row r="394" spans="1:49" x14ac:dyDescent="0.25">
      <c r="A394" s="44"/>
      <c r="B394" s="41"/>
      <c r="C394" s="41"/>
      <c r="D394" s="41"/>
      <c r="E394" s="41"/>
      <c r="F394" s="41"/>
      <c r="G394" s="41">
        <f>+G393*6</f>
        <v>72000</v>
      </c>
    </row>
    <row r="395" spans="1:49" x14ac:dyDescent="0.25">
      <c r="A395" s="44"/>
      <c r="B395" s="41"/>
      <c r="C395" s="41"/>
      <c r="D395" s="41"/>
      <c r="E395" s="41"/>
      <c r="F395" s="41"/>
      <c r="G395" s="41"/>
    </row>
    <row r="396" spans="1:49" x14ac:dyDescent="0.25">
      <c r="A396" s="44"/>
      <c r="B396" s="41"/>
      <c r="C396" s="41"/>
      <c r="D396" s="41"/>
      <c r="E396" s="41"/>
      <c r="F396" s="41"/>
      <c r="G396" s="41"/>
    </row>
    <row r="397" spans="1:49" x14ac:dyDescent="0.25">
      <c r="A397" s="44"/>
      <c r="B397" s="41"/>
      <c r="C397" s="41"/>
      <c r="D397" s="41"/>
      <c r="E397" s="41"/>
      <c r="F397" s="41"/>
      <c r="G397" s="41"/>
    </row>
    <row r="398" spans="1:49" x14ac:dyDescent="0.25">
      <c r="A398" s="44"/>
      <c r="B398" s="41"/>
      <c r="C398" s="41"/>
      <c r="D398" s="41"/>
      <c r="E398" s="41"/>
      <c r="F398" s="41"/>
      <c r="G398" s="41"/>
    </row>
    <row r="399" spans="1:49" x14ac:dyDescent="0.25">
      <c r="A399" s="44"/>
      <c r="B399" s="41"/>
      <c r="C399" s="41"/>
      <c r="D399" s="41"/>
      <c r="E399" s="41"/>
      <c r="F399" s="41"/>
      <c r="G399" s="41"/>
    </row>
    <row r="400" spans="1:49" x14ac:dyDescent="0.25">
      <c r="A400" s="44"/>
      <c r="B400" s="41"/>
      <c r="C400" s="41"/>
      <c r="D400" s="41"/>
      <c r="E400" s="41"/>
      <c r="F400" s="41"/>
      <c r="G400" s="41"/>
    </row>
    <row r="401" spans="1:7" x14ac:dyDescent="0.25">
      <c r="A401" s="44"/>
      <c r="B401" s="41"/>
      <c r="C401" s="41"/>
      <c r="D401" s="41"/>
      <c r="E401" s="41"/>
      <c r="F401" s="41"/>
      <c r="G401" s="41"/>
    </row>
    <row r="402" spans="1:7" x14ac:dyDescent="0.25">
      <c r="A402" s="44"/>
      <c r="B402" s="41"/>
      <c r="C402" s="41"/>
      <c r="D402" s="41"/>
      <c r="E402" s="41"/>
      <c r="F402" s="41"/>
      <c r="G402" s="41"/>
    </row>
    <row r="403" spans="1:7" x14ac:dyDescent="0.25">
      <c r="A403" s="44"/>
      <c r="B403" s="41"/>
      <c r="C403" s="41"/>
      <c r="D403" s="41"/>
      <c r="E403" s="41"/>
      <c r="F403" s="41"/>
      <c r="G403" s="41"/>
    </row>
    <row r="404" spans="1:7" x14ac:dyDescent="0.25">
      <c r="A404" s="44"/>
      <c r="B404" s="41"/>
      <c r="C404" s="41"/>
      <c r="D404" s="41"/>
      <c r="E404" s="41"/>
      <c r="F404" s="41"/>
      <c r="G404" s="41"/>
    </row>
    <row r="405" spans="1:7" x14ac:dyDescent="0.25">
      <c r="A405" s="44"/>
      <c r="B405" s="41"/>
      <c r="C405" s="41"/>
      <c r="D405" s="41"/>
      <c r="E405" s="41"/>
      <c r="F405" s="41"/>
      <c r="G405" s="41"/>
    </row>
    <row r="406" spans="1:7" x14ac:dyDescent="0.25">
      <c r="A406" s="44"/>
      <c r="B406" s="41"/>
      <c r="C406" s="41"/>
      <c r="D406" s="41"/>
      <c r="E406" s="144"/>
      <c r="F406" s="41"/>
      <c r="G406" s="41"/>
    </row>
    <row r="407" spans="1:7" x14ac:dyDescent="0.25">
      <c r="A407" s="44"/>
      <c r="B407" s="41"/>
      <c r="C407" s="41"/>
      <c r="D407" s="41"/>
      <c r="E407" s="41"/>
      <c r="F407" s="41"/>
      <c r="G407" s="41"/>
    </row>
    <row r="408" spans="1:7" x14ac:dyDescent="0.25">
      <c r="A408" s="44"/>
      <c r="B408" s="41"/>
      <c r="C408" s="41"/>
      <c r="D408" s="41"/>
      <c r="E408" s="41"/>
      <c r="F408" s="41"/>
      <c r="G408" s="41"/>
    </row>
    <row r="409" spans="1:7" x14ac:dyDescent="0.25">
      <c r="A409" s="44"/>
      <c r="B409" s="41"/>
      <c r="C409" s="41"/>
      <c r="D409" s="41"/>
      <c r="E409" s="144"/>
      <c r="F409" s="41"/>
      <c r="G409" s="41"/>
    </row>
    <row r="410" spans="1:7" x14ac:dyDescent="0.25">
      <c r="A410" s="44"/>
      <c r="B410" s="41"/>
      <c r="C410" s="41"/>
      <c r="D410" s="41"/>
      <c r="E410" s="41"/>
      <c r="F410" s="41"/>
      <c r="G410" s="41"/>
    </row>
    <row r="411" spans="1:7" x14ac:dyDescent="0.25">
      <c r="A411" s="44"/>
      <c r="B411" s="41"/>
      <c r="C411" s="41"/>
      <c r="D411" s="41"/>
      <c r="E411" s="41"/>
      <c r="F411" s="41"/>
      <c r="G411" s="41"/>
    </row>
    <row r="412" spans="1:7" x14ac:dyDescent="0.25">
      <c r="A412" s="44"/>
      <c r="B412" s="41"/>
      <c r="C412" s="41"/>
      <c r="D412" s="41"/>
      <c r="E412" s="41"/>
      <c r="F412" s="41"/>
      <c r="G412" s="41"/>
    </row>
    <row r="413" spans="1:7" x14ac:dyDescent="0.25">
      <c r="A413" s="44"/>
      <c r="B413" s="41"/>
      <c r="C413" s="41"/>
      <c r="D413" s="41"/>
      <c r="E413" s="41"/>
      <c r="F413" s="41"/>
      <c r="G413" s="41"/>
    </row>
    <row r="414" spans="1:7" x14ac:dyDescent="0.25">
      <c r="A414" s="44"/>
      <c r="B414" s="41"/>
      <c r="C414" s="41"/>
      <c r="D414" s="41"/>
      <c r="E414" s="41"/>
      <c r="F414" s="41"/>
      <c r="G414" s="41"/>
    </row>
    <row r="415" spans="1:7" x14ac:dyDescent="0.25">
      <c r="A415" s="44"/>
      <c r="B415" s="41"/>
      <c r="C415" s="41"/>
      <c r="D415" s="41"/>
      <c r="E415" s="41"/>
      <c r="F415" s="41"/>
      <c r="G415" s="41"/>
    </row>
    <row r="416" spans="1:7" x14ac:dyDescent="0.25">
      <c r="A416" s="44"/>
      <c r="B416" s="41"/>
      <c r="C416" s="41"/>
      <c r="D416" s="41"/>
      <c r="E416" s="41"/>
      <c r="F416" s="41"/>
      <c r="G416" s="41"/>
    </row>
    <row r="417" spans="1:7" x14ac:dyDescent="0.25">
      <c r="A417" s="44"/>
      <c r="B417" s="41"/>
      <c r="C417" s="41"/>
      <c r="D417" s="41"/>
      <c r="E417" s="41"/>
      <c r="F417" s="41"/>
      <c r="G417" s="41"/>
    </row>
    <row r="418" spans="1:7" x14ac:dyDescent="0.25">
      <c r="A418" s="44"/>
      <c r="B418" s="41"/>
      <c r="C418" s="41"/>
      <c r="D418" s="41"/>
      <c r="E418" s="41"/>
      <c r="F418" s="41"/>
      <c r="G418" s="41"/>
    </row>
    <row r="419" spans="1:7" x14ac:dyDescent="0.25">
      <c r="A419" s="44"/>
      <c r="B419" s="41"/>
      <c r="C419" s="41"/>
      <c r="D419" s="41"/>
      <c r="E419" s="41"/>
      <c r="F419" s="41"/>
      <c r="G419" s="41"/>
    </row>
    <row r="420" spans="1:7" x14ac:dyDescent="0.25">
      <c r="A420" s="44"/>
      <c r="B420" s="41"/>
      <c r="C420" s="41"/>
      <c r="D420" s="41"/>
      <c r="E420" s="41"/>
      <c r="F420" s="41"/>
      <c r="G420" s="41"/>
    </row>
    <row r="421" spans="1:7" x14ac:dyDescent="0.25">
      <c r="A421" s="44"/>
      <c r="B421" s="41"/>
      <c r="C421" s="41"/>
      <c r="D421" s="41"/>
      <c r="E421" s="41"/>
      <c r="F421" s="41"/>
      <c r="G421" s="41"/>
    </row>
    <row r="422" spans="1:7" x14ac:dyDescent="0.25">
      <c r="A422" s="44"/>
      <c r="B422" s="41"/>
      <c r="C422" s="41"/>
      <c r="D422" s="41"/>
      <c r="E422" s="41"/>
      <c r="F422" s="41"/>
      <c r="G422" s="41"/>
    </row>
    <row r="423" spans="1:7" x14ac:dyDescent="0.25">
      <c r="A423" s="44"/>
      <c r="B423" s="41"/>
      <c r="C423" s="41"/>
      <c r="D423" s="41"/>
      <c r="E423" s="41"/>
      <c r="F423" s="41"/>
      <c r="G423" s="41"/>
    </row>
    <row r="424" spans="1:7" x14ac:dyDescent="0.25">
      <c r="A424" s="44"/>
      <c r="B424" s="41"/>
      <c r="C424" s="41"/>
      <c r="D424" s="41"/>
      <c r="E424" s="41"/>
      <c r="F424" s="41"/>
      <c r="G424" s="41"/>
    </row>
    <row r="425" spans="1:7" x14ac:dyDescent="0.25">
      <c r="A425" s="44"/>
      <c r="B425" s="41"/>
      <c r="C425" s="41"/>
      <c r="D425" s="41"/>
      <c r="E425" s="41"/>
      <c r="F425" s="41"/>
      <c r="G425" s="41"/>
    </row>
    <row r="426" spans="1:7" x14ac:dyDescent="0.25">
      <c r="A426" s="44"/>
      <c r="B426" s="41"/>
      <c r="C426" s="41"/>
      <c r="D426" s="41"/>
      <c r="E426" s="41"/>
      <c r="F426" s="41"/>
      <c r="G426" s="41"/>
    </row>
    <row r="427" spans="1:7" x14ac:dyDescent="0.25">
      <c r="A427" s="44"/>
      <c r="B427" s="41"/>
      <c r="C427" s="41"/>
      <c r="D427" s="41"/>
      <c r="E427" s="41"/>
      <c r="F427" s="41"/>
      <c r="G427" s="41"/>
    </row>
    <row r="428" spans="1:7" x14ac:dyDescent="0.25">
      <c r="A428" s="44"/>
      <c r="B428" s="41"/>
      <c r="C428" s="41"/>
      <c r="D428" s="41"/>
      <c r="E428" s="41"/>
      <c r="F428" s="41"/>
      <c r="G428" s="41"/>
    </row>
    <row r="429" spans="1:7" x14ac:dyDescent="0.25">
      <c r="A429" s="44"/>
      <c r="B429" s="41"/>
      <c r="C429" s="41"/>
      <c r="D429" s="41"/>
      <c r="E429" s="41"/>
      <c r="F429" s="41"/>
      <c r="G429" s="41"/>
    </row>
    <row r="430" spans="1:7" x14ac:dyDescent="0.25">
      <c r="A430" s="44"/>
      <c r="B430" s="41"/>
      <c r="C430" s="41"/>
      <c r="D430" s="41"/>
      <c r="E430" s="41"/>
      <c r="F430" s="41"/>
      <c r="G430" s="41"/>
    </row>
    <row r="431" spans="1:7" x14ac:dyDescent="0.25">
      <c r="A431" s="44"/>
      <c r="B431" s="41"/>
      <c r="C431" s="41"/>
      <c r="D431" s="41"/>
      <c r="E431" s="41"/>
      <c r="F431" s="41"/>
      <c r="G431" s="41"/>
    </row>
    <row r="432" spans="1:7" x14ac:dyDescent="0.25">
      <c r="A432" s="44"/>
      <c r="B432" s="41"/>
      <c r="C432" s="41"/>
      <c r="D432" s="41"/>
      <c r="E432" s="41"/>
      <c r="F432" s="41"/>
      <c r="G432" s="41"/>
    </row>
    <row r="433" spans="1:7" x14ac:dyDescent="0.25">
      <c r="A433" s="44"/>
      <c r="B433" s="41"/>
      <c r="C433" s="41"/>
      <c r="D433" s="41"/>
      <c r="E433" s="41"/>
      <c r="F433" s="41"/>
      <c r="G433" s="41"/>
    </row>
    <row r="434" spans="1:7" x14ac:dyDescent="0.25">
      <c r="A434" s="44"/>
      <c r="B434" s="41"/>
      <c r="C434" s="41"/>
      <c r="D434" s="41"/>
      <c r="E434" s="41"/>
      <c r="F434" s="41"/>
      <c r="G434" s="41"/>
    </row>
    <row r="435" spans="1:7" x14ac:dyDescent="0.25">
      <c r="A435" s="44"/>
      <c r="B435" s="41"/>
      <c r="C435" s="41"/>
      <c r="D435" s="41"/>
      <c r="E435" s="41"/>
      <c r="F435" s="41"/>
      <c r="G435" s="41"/>
    </row>
    <row r="436" spans="1:7" x14ac:dyDescent="0.25">
      <c r="A436" s="44"/>
      <c r="B436" s="41"/>
      <c r="C436" s="41"/>
      <c r="D436" s="41"/>
      <c r="E436" s="41"/>
      <c r="F436" s="41"/>
      <c r="G436" s="41"/>
    </row>
    <row r="437" spans="1:7" x14ac:dyDescent="0.25">
      <c r="A437" s="44"/>
      <c r="B437" s="41"/>
      <c r="C437" s="41"/>
      <c r="D437" s="41"/>
      <c r="E437" s="41"/>
      <c r="F437" s="41"/>
      <c r="G437" s="41"/>
    </row>
    <row r="438" spans="1:7" x14ac:dyDescent="0.25">
      <c r="A438" s="44"/>
      <c r="B438" s="41"/>
      <c r="C438" s="41"/>
      <c r="D438" s="41"/>
      <c r="E438" s="41"/>
      <c r="F438" s="41"/>
      <c r="G438" s="41"/>
    </row>
    <row r="439" spans="1:7" x14ac:dyDescent="0.25">
      <c r="A439" s="44"/>
      <c r="B439" s="41"/>
      <c r="C439" s="41"/>
      <c r="D439" s="41"/>
      <c r="E439" s="41"/>
      <c r="F439" s="41"/>
      <c r="G439" s="41"/>
    </row>
    <row r="440" spans="1:7" x14ac:dyDescent="0.25">
      <c r="A440" s="44"/>
      <c r="B440" s="41"/>
      <c r="C440" s="41"/>
      <c r="D440" s="41"/>
      <c r="E440" s="41"/>
      <c r="F440" s="41"/>
      <c r="G440" s="41"/>
    </row>
    <row r="441" spans="1:7" x14ac:dyDescent="0.25">
      <c r="A441" s="44"/>
      <c r="B441" s="41"/>
      <c r="C441" s="41"/>
      <c r="D441" s="41"/>
      <c r="E441" s="41"/>
      <c r="F441" s="41"/>
      <c r="G441" s="41"/>
    </row>
    <row r="442" spans="1:7" x14ac:dyDescent="0.25">
      <c r="A442" s="44"/>
      <c r="B442" s="41"/>
      <c r="C442" s="41"/>
      <c r="D442" s="41"/>
      <c r="E442" s="41"/>
      <c r="F442" s="41"/>
      <c r="G442" s="41"/>
    </row>
    <row r="443" spans="1:7" x14ac:dyDescent="0.25">
      <c r="A443" s="44"/>
      <c r="B443" s="41"/>
      <c r="C443" s="41"/>
      <c r="D443" s="41"/>
      <c r="E443" s="41"/>
      <c r="F443" s="41"/>
      <c r="G443" s="41"/>
    </row>
    <row r="444" spans="1:7" x14ac:dyDescent="0.25">
      <c r="A444" s="44"/>
      <c r="B444" s="41"/>
      <c r="C444" s="41"/>
      <c r="D444" s="41"/>
      <c r="E444" s="41"/>
      <c r="F444" s="41"/>
      <c r="G444" s="41"/>
    </row>
    <row r="445" spans="1:7" x14ac:dyDescent="0.25">
      <c r="A445" s="44"/>
      <c r="B445" s="41"/>
      <c r="C445" s="41"/>
      <c r="D445" s="41"/>
      <c r="E445" s="41"/>
      <c r="F445" s="41"/>
      <c r="G445" s="41"/>
    </row>
    <row r="446" spans="1:7" x14ac:dyDescent="0.25">
      <c r="A446" s="44"/>
      <c r="B446" s="41"/>
      <c r="C446" s="41"/>
      <c r="D446" s="41"/>
      <c r="E446" s="41"/>
      <c r="F446" s="41"/>
      <c r="G446" s="41"/>
    </row>
    <row r="447" spans="1:7" x14ac:dyDescent="0.25">
      <c r="A447" s="44"/>
      <c r="B447" s="41"/>
      <c r="C447" s="41"/>
      <c r="D447" s="41"/>
      <c r="E447" s="41"/>
      <c r="F447" s="41"/>
      <c r="G447" s="41"/>
    </row>
    <row r="448" spans="1:7" x14ac:dyDescent="0.25">
      <c r="A448" s="44"/>
      <c r="B448" s="41"/>
      <c r="C448" s="41"/>
      <c r="D448" s="41"/>
      <c r="E448" s="41"/>
      <c r="F448" s="41"/>
      <c r="G448" s="41"/>
    </row>
    <row r="449" spans="1:7" x14ac:dyDescent="0.25">
      <c r="A449" s="44"/>
      <c r="B449" s="41"/>
      <c r="C449" s="41"/>
      <c r="D449" s="41"/>
      <c r="E449" s="41"/>
      <c r="F449" s="41"/>
      <c r="G449" s="41"/>
    </row>
    <row r="450" spans="1:7" x14ac:dyDescent="0.25">
      <c r="A450" s="44"/>
      <c r="B450" s="41"/>
      <c r="C450" s="41"/>
      <c r="D450" s="41"/>
      <c r="E450" s="41"/>
      <c r="F450" s="41"/>
      <c r="G450" s="41"/>
    </row>
    <row r="451" spans="1:7" x14ac:dyDescent="0.25">
      <c r="A451" s="44"/>
      <c r="B451" s="41"/>
      <c r="C451" s="41"/>
      <c r="D451" s="41"/>
      <c r="E451" s="41"/>
      <c r="F451" s="41"/>
      <c r="G451" s="41"/>
    </row>
    <row r="452" spans="1:7" x14ac:dyDescent="0.25">
      <c r="A452" s="44"/>
      <c r="B452" s="41"/>
      <c r="C452" s="41"/>
      <c r="D452" s="41"/>
      <c r="E452" s="41"/>
      <c r="F452" s="41"/>
      <c r="G452" s="41"/>
    </row>
    <row r="453" spans="1:7" x14ac:dyDescent="0.25">
      <c r="A453" s="44"/>
      <c r="B453" s="41"/>
      <c r="C453" s="41"/>
      <c r="D453" s="41"/>
      <c r="E453" s="41"/>
      <c r="F453" s="41"/>
      <c r="G453" s="41"/>
    </row>
    <row r="454" spans="1:7" x14ac:dyDescent="0.25">
      <c r="A454" s="44"/>
      <c r="B454" s="41"/>
      <c r="C454" s="41"/>
      <c r="D454" s="41"/>
      <c r="E454" s="41"/>
      <c r="F454" s="41"/>
      <c r="G454" s="41"/>
    </row>
    <row r="455" spans="1:7" x14ac:dyDescent="0.25">
      <c r="A455" s="44"/>
      <c r="B455" s="41"/>
      <c r="C455" s="41"/>
      <c r="D455" s="41"/>
      <c r="E455" s="41"/>
      <c r="F455" s="41"/>
      <c r="G455" s="41"/>
    </row>
    <row r="456" spans="1:7" x14ac:dyDescent="0.25">
      <c r="A456" s="44"/>
      <c r="B456" s="41"/>
      <c r="C456" s="41"/>
      <c r="D456" s="41"/>
      <c r="E456" s="41"/>
      <c r="F456" s="41"/>
      <c r="G456" s="41"/>
    </row>
    <row r="457" spans="1:7" x14ac:dyDescent="0.25">
      <c r="A457" s="44"/>
      <c r="B457" s="41"/>
      <c r="C457" s="41"/>
      <c r="D457" s="41"/>
      <c r="E457" s="41"/>
      <c r="F457" s="41"/>
      <c r="G457" s="41"/>
    </row>
    <row r="458" spans="1:7" x14ac:dyDescent="0.25">
      <c r="A458" s="44"/>
      <c r="B458" s="41"/>
      <c r="C458" s="41"/>
      <c r="D458" s="41"/>
      <c r="E458" s="41"/>
      <c r="F458" s="41"/>
      <c r="G458" s="41"/>
    </row>
    <row r="459" spans="1:7" x14ac:dyDescent="0.25">
      <c r="A459" s="44"/>
      <c r="B459" s="41"/>
      <c r="C459" s="41"/>
      <c r="D459" s="41"/>
      <c r="E459" s="41"/>
      <c r="F459" s="41"/>
      <c r="G459" s="41"/>
    </row>
    <row r="460" spans="1:7" x14ac:dyDescent="0.25">
      <c r="A460" s="44"/>
      <c r="B460" s="41"/>
      <c r="C460" s="41"/>
      <c r="D460" s="41"/>
      <c r="E460" s="41"/>
      <c r="F460" s="41"/>
      <c r="G460" s="41"/>
    </row>
    <row r="461" spans="1:7" x14ac:dyDescent="0.25">
      <c r="A461" s="44"/>
      <c r="B461" s="41"/>
      <c r="C461" s="41"/>
      <c r="D461" s="41"/>
      <c r="E461" s="41"/>
      <c r="F461" s="41"/>
      <c r="G461" s="41"/>
    </row>
    <row r="462" spans="1:7" x14ac:dyDescent="0.25">
      <c r="A462" s="44"/>
      <c r="B462" s="41"/>
      <c r="C462" s="41"/>
      <c r="D462" s="41"/>
      <c r="E462" s="41"/>
      <c r="F462" s="41"/>
      <c r="G462" s="41"/>
    </row>
    <row r="463" spans="1:7" x14ac:dyDescent="0.25">
      <c r="A463" s="44"/>
      <c r="B463" s="41"/>
      <c r="C463" s="41"/>
      <c r="D463" s="41"/>
      <c r="E463" s="41"/>
      <c r="F463" s="41"/>
      <c r="G463" s="41"/>
    </row>
    <row r="464" spans="1:7" x14ac:dyDescent="0.25">
      <c r="A464" s="44"/>
      <c r="B464" s="41"/>
      <c r="C464" s="41"/>
      <c r="D464" s="41"/>
      <c r="E464" s="41"/>
      <c r="F464" s="41"/>
      <c r="G464" s="41"/>
    </row>
    <row r="465" spans="1:7" x14ac:dyDescent="0.25">
      <c r="A465" s="44"/>
      <c r="B465" s="41"/>
      <c r="C465" s="41"/>
      <c r="D465" s="41"/>
      <c r="E465" s="41"/>
      <c r="F465" s="41"/>
      <c r="G465" s="41"/>
    </row>
    <row r="466" spans="1:7" x14ac:dyDescent="0.25">
      <c r="A466" s="44"/>
      <c r="B466" s="41"/>
      <c r="C466" s="41"/>
      <c r="D466" s="41"/>
      <c r="E466" s="41"/>
      <c r="F466" s="41"/>
      <c r="G466" s="41"/>
    </row>
    <row r="467" spans="1:7" x14ac:dyDescent="0.25">
      <c r="A467" s="44"/>
      <c r="B467" s="41"/>
      <c r="C467" s="41"/>
      <c r="D467" s="41"/>
      <c r="E467" s="41"/>
      <c r="F467" s="41"/>
      <c r="G467" s="41"/>
    </row>
    <row r="468" spans="1:7" x14ac:dyDescent="0.25">
      <c r="A468" s="44"/>
      <c r="B468" s="41"/>
      <c r="C468" s="41"/>
      <c r="D468" s="41"/>
      <c r="E468" s="41"/>
      <c r="F468" s="41"/>
      <c r="G468" s="41"/>
    </row>
    <row r="469" spans="1:7" x14ac:dyDescent="0.25">
      <c r="A469" s="44"/>
      <c r="B469" s="41"/>
      <c r="C469" s="41"/>
      <c r="D469" s="41"/>
      <c r="E469" s="41"/>
      <c r="F469" s="41"/>
      <c r="G469" s="41"/>
    </row>
    <row r="470" spans="1:7" x14ac:dyDescent="0.25">
      <c r="A470" s="44"/>
      <c r="B470" s="41"/>
      <c r="C470" s="41"/>
      <c r="D470" s="41"/>
      <c r="E470" s="41"/>
      <c r="F470" s="41"/>
      <c r="G470" s="41"/>
    </row>
    <row r="471" spans="1:7" x14ac:dyDescent="0.25">
      <c r="A471" s="44"/>
      <c r="B471" s="41"/>
      <c r="C471" s="41"/>
      <c r="D471" s="41"/>
      <c r="E471" s="41"/>
      <c r="F471" s="41"/>
      <c r="G471" s="41"/>
    </row>
    <row r="472" spans="1:7" x14ac:dyDescent="0.25">
      <c r="A472" s="44"/>
      <c r="B472" s="41"/>
      <c r="C472" s="41"/>
      <c r="D472" s="41"/>
      <c r="E472" s="41"/>
      <c r="F472" s="41"/>
      <c r="G472" s="41"/>
    </row>
    <row r="473" spans="1:7" x14ac:dyDescent="0.25">
      <c r="A473" s="44"/>
      <c r="B473" s="41"/>
      <c r="C473" s="41"/>
      <c r="D473" s="41"/>
      <c r="E473" s="41"/>
      <c r="F473" s="41"/>
      <c r="G473" s="41"/>
    </row>
    <row r="474" spans="1:7" x14ac:dyDescent="0.25">
      <c r="A474" s="44"/>
      <c r="B474" s="41"/>
      <c r="C474" s="41"/>
      <c r="D474" s="41"/>
      <c r="E474" s="41"/>
      <c r="F474" s="41"/>
      <c r="G474" s="41"/>
    </row>
    <row r="475" spans="1:7" x14ac:dyDescent="0.25">
      <c r="A475" s="44"/>
      <c r="B475" s="41"/>
      <c r="C475" s="41"/>
      <c r="D475" s="41"/>
      <c r="E475" s="41"/>
      <c r="F475" s="41"/>
      <c r="G475" s="41"/>
    </row>
    <row r="476" spans="1:7" x14ac:dyDescent="0.25">
      <c r="A476" s="44"/>
      <c r="B476" s="41"/>
      <c r="C476" s="41"/>
      <c r="D476" s="41"/>
      <c r="E476" s="41"/>
      <c r="F476" s="41"/>
      <c r="G476" s="41"/>
    </row>
    <row r="477" spans="1:7" x14ac:dyDescent="0.25">
      <c r="A477" s="44"/>
      <c r="B477" s="41"/>
      <c r="C477" s="41"/>
      <c r="D477" s="41"/>
      <c r="E477" s="41"/>
      <c r="F477" s="41"/>
      <c r="G477" s="41"/>
    </row>
    <row r="478" spans="1:7" x14ac:dyDescent="0.25">
      <c r="A478" s="44"/>
      <c r="B478" s="41"/>
      <c r="C478" s="41"/>
      <c r="D478" s="41"/>
      <c r="E478" s="41"/>
      <c r="F478" s="41"/>
      <c r="G478" s="41"/>
    </row>
    <row r="479" spans="1:7" x14ac:dyDescent="0.25">
      <c r="A479" s="44"/>
      <c r="B479" s="41"/>
      <c r="C479" s="41"/>
      <c r="D479" s="41"/>
      <c r="E479" s="41"/>
      <c r="F479" s="41"/>
      <c r="G479" s="41"/>
    </row>
    <row r="480" spans="1:7" x14ac:dyDescent="0.25">
      <c r="A480" s="44"/>
      <c r="B480" s="41"/>
      <c r="C480" s="41"/>
      <c r="D480" s="41"/>
      <c r="E480" s="41"/>
      <c r="F480" s="41"/>
      <c r="G480" s="41"/>
    </row>
    <row r="481" spans="1:7" x14ac:dyDescent="0.25">
      <c r="A481" s="44"/>
      <c r="B481" s="41"/>
      <c r="C481" s="41"/>
      <c r="D481" s="41"/>
      <c r="E481" s="41"/>
      <c r="F481" s="41"/>
      <c r="G481" s="41"/>
    </row>
    <row r="482" spans="1:7" x14ac:dyDescent="0.25">
      <c r="A482" s="44"/>
      <c r="B482" s="41"/>
      <c r="C482" s="41"/>
      <c r="D482" s="41"/>
      <c r="E482" s="41"/>
      <c r="F482" s="41"/>
      <c r="G482" s="41"/>
    </row>
    <row r="483" spans="1:7" x14ac:dyDescent="0.25">
      <c r="A483" s="44"/>
      <c r="B483" s="41"/>
      <c r="C483" s="41"/>
      <c r="D483" s="41"/>
      <c r="E483" s="41"/>
      <c r="F483" s="41"/>
      <c r="G483" s="41"/>
    </row>
    <row r="484" spans="1:7" x14ac:dyDescent="0.25">
      <c r="A484" s="44"/>
      <c r="B484" s="41"/>
      <c r="C484" s="41"/>
      <c r="D484" s="41"/>
      <c r="E484" s="41"/>
      <c r="F484" s="41"/>
      <c r="G484" s="41"/>
    </row>
    <row r="485" spans="1:7" x14ac:dyDescent="0.25">
      <c r="A485" s="44"/>
      <c r="B485" s="41"/>
      <c r="C485" s="41"/>
      <c r="D485" s="41"/>
      <c r="E485" s="41"/>
      <c r="F485" s="41"/>
      <c r="G485" s="41"/>
    </row>
    <row r="486" spans="1:7" x14ac:dyDescent="0.25">
      <c r="A486" s="44"/>
      <c r="B486" s="41"/>
      <c r="C486" s="41"/>
      <c r="D486" s="41"/>
      <c r="E486" s="41"/>
      <c r="F486" s="41"/>
      <c r="G486" s="41"/>
    </row>
    <row r="487" spans="1:7" x14ac:dyDescent="0.25">
      <c r="A487" s="44"/>
      <c r="B487" s="41"/>
      <c r="C487" s="41"/>
      <c r="D487" s="41"/>
      <c r="E487" s="41"/>
      <c r="F487" s="41"/>
      <c r="G487" s="41"/>
    </row>
    <row r="488" spans="1:7" x14ac:dyDescent="0.25">
      <c r="A488" s="44"/>
      <c r="B488" s="41"/>
      <c r="C488" s="41"/>
      <c r="D488" s="41"/>
      <c r="E488" s="41"/>
      <c r="F488" s="41"/>
      <c r="G488" s="4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HIKE M2 KM TRIP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2026-03-26T07:23:33Z</dcterms:modified>
</cp:coreProperties>
</file>